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andernet-my.sharepoint.com/personal/n595194_ucloud_santandergroup_net/Documents/Documentos/Fabio/Pagos/Abril 2026/"/>
    </mc:Choice>
  </mc:AlternateContent>
  <xr:revisionPtr revIDLastSave="108" documentId="11_0AD5E4B8A955D8897B151DB3CF521C9BA1927AE3" xr6:coauthVersionLast="47" xr6:coauthVersionMax="47" xr10:uidLastSave="{527CF307-962C-4899-960D-683647C9267B}"/>
  <bookViews>
    <workbookView xWindow="-110" yWindow="-110" windowWidth="19420" windowHeight="10300" tabRatio="990" activeTab="3" xr2:uid="{00000000-000D-0000-FFFF-FFFF00000000}"/>
  </bookViews>
  <sheets>
    <sheet name="Enero" sheetId="1" r:id="rId1"/>
    <sheet name="Febrero" sheetId="2" r:id="rId2"/>
    <sheet name="Marzo" sheetId="3" r:id="rId3"/>
    <sheet name="Abril" sheetId="4" r:id="rId4"/>
    <sheet name="Mayo" sheetId="5" r:id="rId5"/>
    <sheet name="Junio" sheetId="6" r:id="rId6"/>
    <sheet name="Julio" sheetId="7" r:id="rId7"/>
    <sheet name="Agosto" sheetId="8" r:id="rId8"/>
    <sheet name="Septiembre" sheetId="9" r:id="rId9"/>
    <sheet name="Octubre" sheetId="10" r:id="rId10"/>
    <sheet name="Noviembre" sheetId="11" r:id="rId11"/>
    <sheet name="Diciembre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" i="4" l="1"/>
  <c r="B14" i="3"/>
  <c r="A20" i="3" s="1"/>
  <c r="B13" i="2"/>
  <c r="C14" i="11"/>
  <c r="C14" i="10"/>
  <c r="C14" i="9"/>
  <c r="C14" i="8"/>
  <c r="C14" i="7"/>
  <c r="C7" i="6"/>
  <c r="C14" i="6" s="1"/>
  <c r="C13" i="5"/>
  <c r="H21" i="3"/>
  <c r="A22" i="3"/>
  <c r="B18" i="1"/>
  <c r="C20" i="3" l="1"/>
  <c r="B15" i="12"/>
</calcChain>
</file>

<file path=xl/sharedStrings.xml><?xml version="1.0" encoding="utf-8"?>
<sst xmlns="http://schemas.openxmlformats.org/spreadsheetml/2006/main" count="381" uniqueCount="51">
  <si>
    <t>Cuota crédito Hipotecario</t>
  </si>
  <si>
    <t>BBVA Máster</t>
  </si>
  <si>
    <t>Emcali-Internet Apto</t>
  </si>
  <si>
    <t>Emcali-Servicios Apto</t>
  </si>
  <si>
    <t>GDO-Apartamento</t>
  </si>
  <si>
    <t>Admin-Apartamento</t>
  </si>
  <si>
    <t>Remesa</t>
  </si>
  <si>
    <t>TOTAL</t>
  </si>
  <si>
    <t>Pago Total</t>
  </si>
  <si>
    <t>Seguro Moto SURA</t>
  </si>
  <si>
    <t>Apartamento 2</t>
  </si>
  <si>
    <t>Bogota credito 35</t>
  </si>
  <si>
    <t>00853726185</t>
  </si>
  <si>
    <t>00954106216</t>
  </si>
  <si>
    <t>0602000140252703</t>
  </si>
  <si>
    <t>BBogota Credito remodelaciín 40</t>
  </si>
  <si>
    <t>47088342</t>
  </si>
  <si>
    <t>47017622</t>
  </si>
  <si>
    <t>2403249- Contrato</t>
  </si>
  <si>
    <t>https://www.avalpaycenter.com/wps/portal/portal-de-pagos/web/pagos-aval/resultado-busqueda/pago-obligaciones-financieras?idConv=O0102</t>
  </si>
  <si>
    <t>https://www.avalpaycenter.com/wps/portal/portal-de-pagos/web/pagos-aval/resultado-busqueda/pago-obligaciones-financieras?idConv=O0103</t>
  </si>
  <si>
    <t>https://www.avalpaycenter.com/wps/portal/portal-de-pagos/web/banco-avvillas/resultado-busqueda/realizar-pago?idConv=00019441&amp;origen=buscar</t>
  </si>
  <si>
    <t>https://portalpagos.davivienda.com/#/cargos/fiduciaria</t>
  </si>
  <si>
    <t>https://pagos.emcali.com.co/pagosweb/checkout</t>
  </si>
  <si>
    <t>https://www.gdo.com.co/Paginas/Pago.aspx</t>
  </si>
  <si>
    <t>https://www.segurossura.com.co/paginas/pago-express.aspx#/Pagos</t>
  </si>
  <si>
    <t>Adelanto Nomina</t>
  </si>
  <si>
    <t>00958581275</t>
  </si>
  <si>
    <t>Bbogota new Credito 35,945,128</t>
  </si>
  <si>
    <t>800000-Pago Parcal</t>
  </si>
  <si>
    <t>510000 prestamo</t>
  </si>
  <si>
    <t>GDO-Apartamento + Revision gas</t>
  </si>
  <si>
    <t>Impuesto Moto Hunter</t>
  </si>
  <si>
    <t>SOAT HUNTER</t>
  </si>
  <si>
    <t>00556045222</t>
  </si>
  <si>
    <t>Pagos gastos Casa</t>
  </si>
  <si>
    <t>Pagos creditos</t>
  </si>
  <si>
    <t>3502</t>
  </si>
  <si>
    <t>338000 + 23000 Retroactivo</t>
  </si>
  <si>
    <t>338000 + 61000 Retroactivo</t>
  </si>
  <si>
    <t>https://www.gdo.com.co</t>
  </si>
  <si>
    <t>Predial</t>
  </si>
  <si>
    <t>0000994325</t>
  </si>
  <si>
    <t>https://www.cali.gov.co/tic/publicaciones/132373/facturas/</t>
  </si>
  <si>
    <t>https://www.vehiculosvalle.com.co/</t>
  </si>
  <si>
    <t>Tecnomecanica Hunter</t>
  </si>
  <si>
    <t>Bbogota Credito</t>
  </si>
  <si>
    <t>Seguro Moto SURA X2</t>
  </si>
  <si>
    <t>arriendo habitación Bogota</t>
  </si>
  <si>
    <t>3160548596</t>
  </si>
  <si>
    <t>Habitacion Bogota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</si>
</sst>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$-240A]#,##0.0;[Red]\([$$-240A]#,##0.0\)"/>
    <numFmt numFmtId="165" formatCode="&quot;$ &quot;#,##0.00;[Red]&quot;$ &quot;#,##0.00"/>
    <numFmt numFmtId="166" formatCode="&quot;$ &quot;#,##0.00;[Red]&quot;-$ &quot;#,##0.00"/>
    <numFmt numFmtId="167" formatCode="#,##0.00;[Red]#,##0.00"/>
    <numFmt numFmtId="168" formatCode="[$$-240A]\ #,##0.00;[Red][$$-240A]\ #,##0.00"/>
  </numFmts>
  <fonts count="6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u/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theme="1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F0000"/>
        <bgColor rgb="FFFF3333"/>
      </patternFill>
    </fill>
    <fill>
      <patternFill patternType="solid">
        <fgColor rgb="FFFFFFFF"/>
        <bgColor rgb="FFFFFFCC"/>
      </patternFill>
    </fill>
    <fill>
      <patternFill patternType="solid">
        <fgColor rgb="FF92D050"/>
        <bgColor rgb="FFFF3333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theme="0" tint="-0.34998626667073579"/>
        <bgColor rgb="FFFF3333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rgb="FF339966"/>
      </patternFill>
    </fill>
    <fill>
      <patternFill patternType="solid">
        <fgColor rgb="FFFF0000"/>
        <bgColor rgb="FF339966"/>
      </patternFill>
    </fill>
    <fill>
      <patternFill patternType="solid">
        <fgColor rgb="FF92D050"/>
        <bgColor rgb="FFFF000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3333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165" fontId="0" fillId="0" borderId="0" xfId="0" applyNumberFormat="1"/>
    <xf numFmtId="0" fontId="2" fillId="0" borderId="0" xfId="0" applyFont="1"/>
    <xf numFmtId="0" fontId="0" fillId="3" borderId="2" xfId="0" applyFill="1" applyBorder="1"/>
    <xf numFmtId="0" fontId="0" fillId="3" borderId="3" xfId="0" applyFill="1" applyBorder="1"/>
    <xf numFmtId="0" fontId="0" fillId="3" borderId="0" xfId="0" applyFill="1"/>
    <xf numFmtId="3" fontId="0" fillId="0" borderId="0" xfId="0" applyNumberFormat="1"/>
    <xf numFmtId="0" fontId="0" fillId="5" borderId="0" xfId="0" applyFill="1"/>
    <xf numFmtId="0" fontId="1" fillId="5" borderId="0" xfId="0" applyFont="1" applyFill="1"/>
    <xf numFmtId="167" fontId="0" fillId="5" borderId="0" xfId="0" applyNumberFormat="1" applyFill="1"/>
    <xf numFmtId="49" fontId="0" fillId="0" borderId="0" xfId="0" applyNumberFormat="1"/>
    <xf numFmtId="0" fontId="0" fillId="4" borderId="4" xfId="0" applyFill="1" applyBorder="1"/>
    <xf numFmtId="3" fontId="0" fillId="4" borderId="4" xfId="0" applyNumberFormat="1" applyFill="1" applyBorder="1"/>
    <xf numFmtId="0" fontId="0" fillId="6" borderId="1" xfId="0" applyFill="1" applyBorder="1"/>
    <xf numFmtId="164" fontId="0" fillId="6" borderId="1" xfId="0" applyNumberFormat="1" applyFill="1" applyBorder="1"/>
    <xf numFmtId="0" fontId="0" fillId="7" borderId="4" xfId="0" applyFill="1" applyBorder="1"/>
    <xf numFmtId="166" fontId="0" fillId="7" borderId="4" xfId="0" applyNumberFormat="1" applyFill="1" applyBorder="1"/>
    <xf numFmtId="0" fontId="0" fillId="8" borderId="4" xfId="0" applyFill="1" applyBorder="1"/>
    <xf numFmtId="4" fontId="0" fillId="8" borderId="4" xfId="0" applyNumberFormat="1" applyFill="1" applyBorder="1"/>
    <xf numFmtId="4" fontId="0" fillId="0" borderId="0" xfId="0" applyNumberFormat="1"/>
    <xf numFmtId="0" fontId="0" fillId="9" borderId="1" xfId="0" applyFill="1" applyBorder="1"/>
    <xf numFmtId="3" fontId="0" fillId="9" borderId="1" xfId="0" applyNumberFormat="1" applyFill="1" applyBorder="1"/>
    <xf numFmtId="0" fontId="0" fillId="9" borderId="5" xfId="0" applyFill="1" applyBorder="1"/>
    <xf numFmtId="3" fontId="0" fillId="9" borderId="5" xfId="0" applyNumberFormat="1" applyFill="1" applyBorder="1"/>
    <xf numFmtId="2" fontId="0" fillId="0" borderId="0" xfId="0" applyNumberFormat="1"/>
    <xf numFmtId="0" fontId="0" fillId="4" borderId="1" xfId="0" applyFill="1" applyBorder="1"/>
    <xf numFmtId="3" fontId="0" fillId="4" borderId="1" xfId="0" applyNumberFormat="1" applyFill="1" applyBorder="1"/>
    <xf numFmtId="168" fontId="0" fillId="0" borderId="0" xfId="0" applyNumberFormat="1"/>
    <xf numFmtId="0" fontId="0" fillId="11" borderId="1" xfId="0" applyFill="1" applyBorder="1"/>
    <xf numFmtId="164" fontId="0" fillId="11" borderId="1" xfId="0" applyNumberFormat="1" applyFill="1" applyBorder="1"/>
    <xf numFmtId="0" fontId="0" fillId="12" borderId="0" xfId="0" applyFill="1"/>
    <xf numFmtId="0" fontId="4" fillId="0" borderId="0" xfId="1"/>
    <xf numFmtId="0" fontId="0" fillId="2" borderId="4" xfId="0" applyFill="1" applyBorder="1"/>
    <xf numFmtId="3" fontId="0" fillId="2" borderId="4" xfId="0" applyNumberFormat="1" applyFill="1" applyBorder="1"/>
    <xf numFmtId="3" fontId="0" fillId="5" borderId="0" xfId="0" applyNumberFormat="1" applyFill="1"/>
    <xf numFmtId="4" fontId="0" fillId="5" borderId="0" xfId="0" applyNumberFormat="1" applyFill="1"/>
    <xf numFmtId="0" fontId="5" fillId="0" borderId="0" xfId="1" applyFont="1"/>
    <xf numFmtId="0" fontId="0" fillId="10" borderId="1" xfId="0" applyFill="1" applyBorder="1"/>
    <xf numFmtId="3" fontId="0" fillId="10" borderId="1" xfId="0" applyNumberFormat="1" applyFill="1" applyBorder="1"/>
    <xf numFmtId="0" fontId="0" fillId="13" borderId="0" xfId="0" applyFill="1"/>
    <xf numFmtId="0" fontId="0" fillId="14" borderId="4" xfId="0" applyFill="1" applyBorder="1"/>
    <xf numFmtId="166" fontId="0" fillId="14" borderId="4" xfId="0" applyNumberFormat="1" applyFill="1" applyBorder="1"/>
    <xf numFmtId="0" fontId="0" fillId="5" borderId="4" xfId="0" applyFill="1" applyBorder="1"/>
    <xf numFmtId="4" fontId="0" fillId="5" borderId="4" xfId="0" applyNumberFormat="1" applyFill="1" applyBorder="1"/>
    <xf numFmtId="0" fontId="0" fillId="11" borderId="0" xfId="0" applyFill="1"/>
    <xf numFmtId="164" fontId="0" fillId="11" borderId="0" xfId="0" applyNumberFormat="1" applyFill="1"/>
    <xf numFmtId="0" fontId="0" fillId="4" borderId="0" xfId="0" applyFill="1"/>
    <xf numFmtId="3" fontId="0" fillId="4" borderId="0" xfId="0" applyNumberForma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826"/>
      <rgbColor rgb="FF000080"/>
      <rgbColor rgb="FF808000"/>
      <rgbColor rgb="FF800080"/>
      <rgbColor rgb="FF00B05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333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20</xdr:row>
      <xdr:rowOff>0</xdr:rowOff>
    </xdr:from>
    <xdr:to>
      <xdr:col>3</xdr:col>
      <xdr:colOff>304200</xdr:colOff>
      <xdr:row>21</xdr:row>
      <xdr:rowOff>113760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4143240" y="3619440"/>
          <a:ext cx="304200" cy="3042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hyperlink" Target="https://www.vehiculosvalle.com.co/" TargetMode="External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3" TargetMode="External"/><Relationship Id="rId3" Type="http://schemas.openxmlformats.org/officeDocument/2006/relationships/hyperlink" Target="https://pagos.emcali.com.co/pagosweb/checkout" TargetMode="External"/><Relationship Id="rId7" Type="http://schemas.openxmlformats.org/officeDocument/2006/relationships/hyperlink" Target="https://www.avalpaycenter.com/wps/portal/portal-de-pagos/web/pagos-aval/resultado-busqueda/pago-obligaciones-financieras?idConv=O0102" TargetMode="External"/><Relationship Id="rId2" Type="http://schemas.openxmlformats.org/officeDocument/2006/relationships/hyperlink" Target="https://portalpagos.davivienda.com/" TargetMode="External"/><Relationship Id="rId1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6" Type="http://schemas.openxmlformats.org/officeDocument/2006/relationships/hyperlink" Target="https://www.segurossura.com.co/paginas/pago-express.aspx" TargetMode="External"/><Relationship Id="rId5" Type="http://schemas.openxmlformats.org/officeDocument/2006/relationships/hyperlink" Target="https://www.gdo.com.co/" TargetMode="External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3" TargetMode="External"/><Relationship Id="rId3" Type="http://schemas.openxmlformats.org/officeDocument/2006/relationships/hyperlink" Target="https://pagos.emcali.com.co/pagosweb/checkout" TargetMode="External"/><Relationship Id="rId7" Type="http://schemas.openxmlformats.org/officeDocument/2006/relationships/hyperlink" Target="https://www.avalpaycenter.com/wps/portal/portal-de-pagos/web/pagos-aval/resultado-busqueda/pago-obligaciones-financieras?idConv=O0102" TargetMode="External"/><Relationship Id="rId2" Type="http://schemas.openxmlformats.org/officeDocument/2006/relationships/hyperlink" Target="https://portalpagos.davivienda.com/" TargetMode="External"/><Relationship Id="rId1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6" Type="http://schemas.openxmlformats.org/officeDocument/2006/relationships/hyperlink" Target="https://www.segurossura.com.co/paginas/pago-express.aspx" TargetMode="External"/><Relationship Id="rId5" Type="http://schemas.openxmlformats.org/officeDocument/2006/relationships/hyperlink" Target="https://www.gdo.com.co/" TargetMode="External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.bin"/><Relationship Id="rId3" Type="http://schemas.openxmlformats.org/officeDocument/2006/relationships/hyperlink" Target="https://pagos.emcali.com.co/pagosweb/checkout" TargetMode="External"/><Relationship Id="rId7" Type="http://schemas.openxmlformats.org/officeDocument/2006/relationships/hyperlink" Target="https://www.avalpaycenter.com/wps/portal/portal-de-pagos/web/pagos-aval/resultado-busqueda/pago-obligaciones-financieras?idConv=O0103" TargetMode="External"/><Relationship Id="rId2" Type="http://schemas.openxmlformats.org/officeDocument/2006/relationships/hyperlink" Target="https://pagos.emcali.com.co/pagosweb/checkout" TargetMode="External"/><Relationship Id="rId1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6" Type="http://schemas.openxmlformats.org/officeDocument/2006/relationships/hyperlink" Target="https://www.avalpaycenter.com/wps/portal/portal-de-pagos/web/pagos-aval/resultado-busqueda/pago-obligaciones-financieras?idConv=O0102" TargetMode="External"/><Relationship Id="rId5" Type="http://schemas.openxmlformats.org/officeDocument/2006/relationships/hyperlink" Target="https://www.segurossura.com.co/paginas/pago-express.aspx" TargetMode="External"/><Relationship Id="rId4" Type="http://schemas.openxmlformats.org/officeDocument/2006/relationships/hyperlink" Target="https://www.gdo.com.co/Paginas/Pago.aspx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.bin"/><Relationship Id="rId3" Type="http://schemas.openxmlformats.org/officeDocument/2006/relationships/hyperlink" Target="https://pagos.emcali.com.co/pagosweb/checkout" TargetMode="External"/><Relationship Id="rId7" Type="http://schemas.openxmlformats.org/officeDocument/2006/relationships/hyperlink" Target="https://www.avalpaycenter.com/wps/portal/portal-de-pagos/web/pagos-aval/resultado-busqueda/pago-obligaciones-financieras?idConv=O0103" TargetMode="External"/><Relationship Id="rId2" Type="http://schemas.openxmlformats.org/officeDocument/2006/relationships/hyperlink" Target="https://pagos.emcali.com.co/pagosweb/checkout" TargetMode="External"/><Relationship Id="rId1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6" Type="http://schemas.openxmlformats.org/officeDocument/2006/relationships/hyperlink" Target="https://www.avalpaycenter.com/wps/portal/portal-de-pagos/web/pagos-aval/resultado-busqueda/pago-obligaciones-financieras?idConv=O0102" TargetMode="External"/><Relationship Id="rId5" Type="http://schemas.openxmlformats.org/officeDocument/2006/relationships/hyperlink" Target="https://www.segurossura.com.co/paginas/pago-express.aspx" TargetMode="External"/><Relationship Id="rId4" Type="http://schemas.openxmlformats.org/officeDocument/2006/relationships/hyperlink" Target="https://www.gdo.com.co/Paginas/Pago.aspx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6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7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8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9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10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11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12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zoomScaleNormal="100" workbookViewId="0">
      <selection activeCell="A5" sqref="A5:D18"/>
    </sheetView>
  </sheetViews>
  <sheetFormatPr baseColWidth="10" defaultColWidth="9.1796875" defaultRowHeight="14.5" x14ac:dyDescent="0.35"/>
  <cols>
    <col min="1" max="1" width="30.1796875" bestFit="1" customWidth="1"/>
    <col min="2" max="2" width="19.453125"/>
    <col min="3" max="3" width="17.1796875" style="10" bestFit="1" customWidth="1"/>
    <col min="4" max="1025" width="10.54296875"/>
  </cols>
  <sheetData>
    <row r="1" spans="1:5" x14ac:dyDescent="0.35">
      <c r="A1" s="30" t="s">
        <v>41</v>
      </c>
      <c r="B1" s="30">
        <v>2916648</v>
      </c>
      <c r="C1" s="10" t="s">
        <v>42</v>
      </c>
      <c r="D1" t="s">
        <v>43</v>
      </c>
    </row>
    <row r="2" spans="1:5" x14ac:dyDescent="0.35">
      <c r="A2" s="39" t="s">
        <v>45</v>
      </c>
      <c r="B2" s="39">
        <v>150000</v>
      </c>
    </row>
    <row r="3" spans="1:5" x14ac:dyDescent="0.35">
      <c r="A3" s="39" t="s">
        <v>33</v>
      </c>
      <c r="B3" s="39">
        <v>326300</v>
      </c>
    </row>
    <row r="4" spans="1:5" x14ac:dyDescent="0.35">
      <c r="A4" s="30" t="s">
        <v>32</v>
      </c>
      <c r="B4" s="30">
        <v>118600</v>
      </c>
      <c r="C4"/>
      <c r="D4" s="31" t="s">
        <v>44</v>
      </c>
    </row>
    <row r="5" spans="1:5" x14ac:dyDescent="0.35">
      <c r="A5" s="30" t="s">
        <v>26</v>
      </c>
      <c r="B5" s="30">
        <v>1000000</v>
      </c>
      <c r="C5"/>
    </row>
    <row r="6" spans="1:5" x14ac:dyDescent="0.35">
      <c r="A6" s="20" t="s">
        <v>0</v>
      </c>
      <c r="B6" s="21">
        <v>687401</v>
      </c>
    </row>
    <row r="7" spans="1:5" x14ac:dyDescent="0.35">
      <c r="A7" s="20" t="s">
        <v>1</v>
      </c>
      <c r="B7" s="21">
        <v>1567940</v>
      </c>
    </row>
    <row r="8" spans="1:5" x14ac:dyDescent="0.35">
      <c r="A8" s="20" t="s">
        <v>28</v>
      </c>
      <c r="B8" s="21">
        <v>880016</v>
      </c>
      <c r="C8" s="10" t="s">
        <v>27</v>
      </c>
      <c r="D8" s="31" t="s">
        <v>20</v>
      </c>
    </row>
    <row r="9" spans="1:5" x14ac:dyDescent="0.35">
      <c r="A9" s="22" t="s">
        <v>11</v>
      </c>
      <c r="B9" s="23">
        <v>827159</v>
      </c>
      <c r="C9" s="10" t="s">
        <v>13</v>
      </c>
      <c r="D9" s="31" t="s">
        <v>20</v>
      </c>
    </row>
    <row r="10" spans="1:5" x14ac:dyDescent="0.35">
      <c r="A10" s="20" t="s">
        <v>15</v>
      </c>
      <c r="B10" s="21">
        <v>666406</v>
      </c>
      <c r="C10" s="10" t="s">
        <v>12</v>
      </c>
      <c r="D10" s="31" t="s">
        <v>19</v>
      </c>
    </row>
    <row r="11" spans="1:5" x14ac:dyDescent="0.35">
      <c r="A11" s="25" t="s">
        <v>5</v>
      </c>
      <c r="B11" s="26">
        <v>338000</v>
      </c>
      <c r="D11" s="31" t="s">
        <v>21</v>
      </c>
    </row>
    <row r="12" spans="1:5" x14ac:dyDescent="0.35">
      <c r="A12" s="20" t="s">
        <v>10</v>
      </c>
      <c r="B12" s="21">
        <v>1873981</v>
      </c>
      <c r="C12" s="10" t="s">
        <v>14</v>
      </c>
      <c r="D12" s="31" t="s">
        <v>22</v>
      </c>
    </row>
    <row r="13" spans="1:5" x14ac:dyDescent="0.35">
      <c r="A13" s="20" t="s">
        <v>2</v>
      </c>
      <c r="B13" s="21">
        <v>82187</v>
      </c>
      <c r="C13" s="10" t="s">
        <v>16</v>
      </c>
      <c r="D13" s="31" t="s">
        <v>23</v>
      </c>
    </row>
    <row r="14" spans="1:5" x14ac:dyDescent="0.35">
      <c r="A14" s="37" t="s">
        <v>3</v>
      </c>
      <c r="B14" s="38">
        <v>177824</v>
      </c>
      <c r="C14" s="10" t="s">
        <v>17</v>
      </c>
      <c r="D14" s="31" t="s">
        <v>23</v>
      </c>
      <c r="E14" s="6"/>
    </row>
    <row r="15" spans="1:5" x14ac:dyDescent="0.35">
      <c r="A15" s="20" t="s">
        <v>31</v>
      </c>
      <c r="B15" s="21">
        <v>21033</v>
      </c>
      <c r="C15" s="10" t="s">
        <v>18</v>
      </c>
      <c r="D15" s="31" t="s">
        <v>40</v>
      </c>
      <c r="E15" s="6"/>
    </row>
    <row r="16" spans="1:5" x14ac:dyDescent="0.35">
      <c r="A16" s="32" t="s">
        <v>9</v>
      </c>
      <c r="B16" s="33">
        <v>88924</v>
      </c>
      <c r="D16" s="31" t="s">
        <v>25</v>
      </c>
    </row>
    <row r="17" spans="1:2" x14ac:dyDescent="0.35">
      <c r="A17" s="13" t="s">
        <v>6</v>
      </c>
      <c r="B17" s="14">
        <v>302000</v>
      </c>
    </row>
    <row r="18" spans="1:2" x14ac:dyDescent="0.35">
      <c r="A18" s="15" t="s">
        <v>7</v>
      </c>
      <c r="B18" s="16">
        <f>SUM(B3:B17)</f>
        <v>8957771</v>
      </c>
    </row>
  </sheetData>
  <hyperlinks>
    <hyperlink ref="D9" r:id="rId1" xr:uid="{00000000-0004-0000-0000-000000000000}"/>
    <hyperlink ref="D11" r:id="rId2" xr:uid="{00000000-0004-0000-0000-000001000000}"/>
    <hyperlink ref="D12" r:id="rId3" location="/cargos/fiduciaria" xr:uid="{00000000-0004-0000-0000-000002000000}"/>
    <hyperlink ref="D13" r:id="rId4" xr:uid="{00000000-0004-0000-0000-000003000000}"/>
    <hyperlink ref="D14" r:id="rId5" xr:uid="{00000000-0004-0000-0000-000004000000}"/>
    <hyperlink ref="D15" r:id="rId6" xr:uid="{00000000-0004-0000-0000-000005000000}"/>
    <hyperlink ref="D16" r:id="rId7" location="/Pagos" xr:uid="{00000000-0004-0000-0000-000006000000}"/>
    <hyperlink ref="D10" r:id="rId8" xr:uid="{00000000-0004-0000-0000-000007000000}"/>
    <hyperlink ref="D8" r:id="rId9" xr:uid="{00000000-0004-0000-0000-000008000000}"/>
    <hyperlink ref="D4" r:id="rId10" xr:uid="{00000000-0004-0000-0000-000009000000}"/>
  </hyperlinks>
  <pageMargins left="0.7" right="0.7" top="0.75" bottom="0.75" header="0.51180555555555496" footer="0.51180555555555496"/>
  <pageSetup firstPageNumber="0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zoomScaleNormal="100" workbookViewId="0">
      <selection sqref="A1:D13"/>
    </sheetView>
  </sheetViews>
  <sheetFormatPr baseColWidth="10" defaultColWidth="9.1796875" defaultRowHeight="14.5" x14ac:dyDescent="0.35"/>
  <cols>
    <col min="1" max="1" width="30.1796875" bestFit="1" customWidth="1"/>
    <col min="2" max="2" width="20.7265625" customWidth="1"/>
    <col min="3" max="3" width="18.7265625" style="10" bestFit="1" customWidth="1"/>
    <col min="4" max="4" width="23.54296875"/>
    <col min="5" max="5" width="22.453125"/>
    <col min="6" max="1025" width="10.54296875"/>
  </cols>
  <sheetData>
    <row r="1" spans="1:5" x14ac:dyDescent="0.35">
      <c r="A1" s="30" t="s">
        <v>26</v>
      </c>
      <c r="B1" s="30">
        <v>1000000</v>
      </c>
      <c r="C1"/>
      <c r="E1" s="1"/>
    </row>
    <row r="2" spans="1:5" x14ac:dyDescent="0.35">
      <c r="A2" s="20" t="s">
        <v>0</v>
      </c>
      <c r="B2" s="21">
        <v>687401</v>
      </c>
      <c r="E2" s="1"/>
    </row>
    <row r="3" spans="1:5" x14ac:dyDescent="0.35">
      <c r="A3" s="20" t="s">
        <v>1</v>
      </c>
      <c r="B3" s="21">
        <v>1937633</v>
      </c>
    </row>
    <row r="4" spans="1:5" x14ac:dyDescent="0.35">
      <c r="A4" s="20" t="s">
        <v>46</v>
      </c>
      <c r="B4" s="21">
        <v>880016</v>
      </c>
      <c r="C4" s="10" t="s">
        <v>27</v>
      </c>
      <c r="D4" s="31" t="s">
        <v>20</v>
      </c>
    </row>
    <row r="5" spans="1:5" x14ac:dyDescent="0.35">
      <c r="A5" s="20" t="s">
        <v>15</v>
      </c>
      <c r="B5" s="21">
        <v>666406</v>
      </c>
      <c r="C5" s="10" t="s">
        <v>12</v>
      </c>
      <c r="D5" s="31" t="s">
        <v>19</v>
      </c>
    </row>
    <row r="6" spans="1:5" x14ac:dyDescent="0.35">
      <c r="A6" s="25" t="s">
        <v>5</v>
      </c>
      <c r="B6" s="26">
        <v>338000</v>
      </c>
      <c r="C6" s="10" t="s">
        <v>37</v>
      </c>
      <c r="D6" s="31" t="s">
        <v>21</v>
      </c>
    </row>
    <row r="7" spans="1:5" x14ac:dyDescent="0.35">
      <c r="A7" s="20" t="s">
        <v>10</v>
      </c>
      <c r="B7" s="21">
        <v>1873981</v>
      </c>
      <c r="C7" s="10" t="s">
        <v>14</v>
      </c>
      <c r="D7" s="31" t="s">
        <v>22</v>
      </c>
    </row>
    <row r="8" spans="1:5" x14ac:dyDescent="0.35">
      <c r="A8" s="20" t="s">
        <v>2</v>
      </c>
      <c r="B8" s="21">
        <v>82187</v>
      </c>
      <c r="C8" s="10" t="s">
        <v>16</v>
      </c>
      <c r="D8" s="31" t="s">
        <v>23</v>
      </c>
    </row>
    <row r="9" spans="1:5" x14ac:dyDescent="0.35">
      <c r="A9" s="20" t="s">
        <v>3</v>
      </c>
      <c r="B9" s="21">
        <v>193760</v>
      </c>
      <c r="C9" s="10" t="s">
        <v>17</v>
      </c>
      <c r="D9" s="31" t="s">
        <v>23</v>
      </c>
    </row>
    <row r="10" spans="1:5" x14ac:dyDescent="0.35">
      <c r="A10" s="20" t="s">
        <v>4</v>
      </c>
      <c r="B10" s="21">
        <v>19559</v>
      </c>
      <c r="C10" s="10" t="s">
        <v>18</v>
      </c>
      <c r="D10" s="31" t="s">
        <v>40</v>
      </c>
    </row>
    <row r="11" spans="1:5" x14ac:dyDescent="0.35">
      <c r="A11" s="11" t="s">
        <v>47</v>
      </c>
      <c r="B11" s="12">
        <v>72345</v>
      </c>
      <c r="D11" s="31" t="s">
        <v>25</v>
      </c>
    </row>
    <row r="12" spans="1:5" x14ac:dyDescent="0.35">
      <c r="A12" s="13" t="s">
        <v>6</v>
      </c>
      <c r="B12" s="14">
        <v>302000</v>
      </c>
    </row>
    <row r="13" spans="1:5" x14ac:dyDescent="0.35">
      <c r="A13" s="15" t="s">
        <v>7</v>
      </c>
      <c r="B13" s="16">
        <f>SUM(B1:B12)</f>
        <v>8053288</v>
      </c>
    </row>
    <row r="16" spans="1:5" x14ac:dyDescent="0.35">
      <c r="B16" s="19"/>
      <c r="C16" s="24"/>
    </row>
    <row r="17" spans="2:4" x14ac:dyDescent="0.35">
      <c r="B17" s="27"/>
      <c r="C17" s="24"/>
    </row>
    <row r="18" spans="2:4" x14ac:dyDescent="0.35">
      <c r="C18" s="24"/>
    </row>
    <row r="20" spans="2:4" x14ac:dyDescent="0.35">
      <c r="D20" s="24"/>
    </row>
    <row r="21" spans="2:4" x14ac:dyDescent="0.35">
      <c r="D21" s="24"/>
    </row>
    <row r="22" spans="2:4" x14ac:dyDescent="0.35">
      <c r="D22" s="24"/>
    </row>
  </sheetData>
  <hyperlinks>
    <hyperlink ref="D6" r:id="rId1" xr:uid="{C4233214-5DAD-4471-A97A-D20F155EB7D8}"/>
    <hyperlink ref="D7" r:id="rId2" location="/cargos/fiduciaria" xr:uid="{59BAA139-1546-47A9-8CF9-832BA39A3A4C}"/>
    <hyperlink ref="D8" r:id="rId3" xr:uid="{FF7355A8-B434-40C1-A6F6-2ACCE3FE4127}"/>
    <hyperlink ref="D9" r:id="rId4" xr:uid="{4DCE058D-1D9D-4075-B325-7136CCF2F15A}"/>
    <hyperlink ref="D10" r:id="rId5" xr:uid="{5019E4AF-818D-4C0A-AF64-57651A1E97CB}"/>
    <hyperlink ref="D11" r:id="rId6" location="/Pagos" xr:uid="{731A9118-72B0-4D9C-BEC7-61B0BED919DA}"/>
    <hyperlink ref="D5" r:id="rId7" xr:uid="{15AD03B0-8E9B-4A6B-8463-379535E39B51}"/>
    <hyperlink ref="D4" r:id="rId8" xr:uid="{190EEBA7-933A-47A7-82DB-961A933B436C}"/>
  </hyperlinks>
  <pageMargins left="0.7" right="0.7" top="0.75" bottom="0.75" header="0.51180555555555496" footer="0.51180555555555496"/>
  <pageSetup firstPageNumber="0"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9"/>
  <sheetViews>
    <sheetView zoomScaleNormal="100" workbookViewId="0">
      <selection activeCell="A14" sqref="A14"/>
    </sheetView>
  </sheetViews>
  <sheetFormatPr baseColWidth="10" defaultColWidth="9.1796875" defaultRowHeight="14.5" x14ac:dyDescent="0.35"/>
  <cols>
    <col min="1" max="1" width="25"/>
    <col min="2" max="2" width="24.453125" customWidth="1"/>
    <col min="3" max="3" width="17.1796875" bestFit="1" customWidth="1"/>
    <col min="4" max="7" width="10.54296875"/>
    <col min="8" max="8" width="11.7265625" bestFit="1" customWidth="1"/>
    <col min="9" max="1025" width="10.54296875"/>
  </cols>
  <sheetData>
    <row r="1" spans="1:10" x14ac:dyDescent="0.35">
      <c r="A1" s="30" t="s">
        <v>26</v>
      </c>
      <c r="B1" s="30">
        <v>1030940</v>
      </c>
    </row>
    <row r="2" spans="1:10" x14ac:dyDescent="0.35">
      <c r="A2" s="20" t="s">
        <v>0</v>
      </c>
      <c r="B2" s="21">
        <v>687401</v>
      </c>
      <c r="C2" s="10"/>
    </row>
    <row r="3" spans="1:10" x14ac:dyDescent="0.35">
      <c r="A3" s="20" t="s">
        <v>1</v>
      </c>
      <c r="B3" s="21">
        <v>2952894</v>
      </c>
      <c r="C3" s="10"/>
    </row>
    <row r="4" spans="1:10" x14ac:dyDescent="0.35">
      <c r="A4" s="20" t="s">
        <v>46</v>
      </c>
      <c r="B4" s="21">
        <v>880016</v>
      </c>
      <c r="C4" s="10" t="s">
        <v>27</v>
      </c>
      <c r="D4" s="31" t="s">
        <v>20</v>
      </c>
    </row>
    <row r="5" spans="1:10" x14ac:dyDescent="0.35">
      <c r="A5" s="20" t="s">
        <v>15</v>
      </c>
      <c r="B5" s="21">
        <v>666374</v>
      </c>
      <c r="C5" s="10" t="s">
        <v>12</v>
      </c>
      <c r="D5" s="31" t="s">
        <v>19</v>
      </c>
    </row>
    <row r="6" spans="1:10" x14ac:dyDescent="0.35">
      <c r="A6" s="25" t="s">
        <v>5</v>
      </c>
      <c r="B6" s="26">
        <v>400000</v>
      </c>
      <c r="C6" s="10" t="s">
        <v>37</v>
      </c>
      <c r="D6" s="31" t="s">
        <v>21</v>
      </c>
    </row>
    <row r="7" spans="1:10" x14ac:dyDescent="0.35">
      <c r="A7" s="20" t="s">
        <v>10</v>
      </c>
      <c r="B7" s="21">
        <v>1873981</v>
      </c>
      <c r="C7" s="10" t="s">
        <v>14</v>
      </c>
      <c r="D7" s="31" t="s">
        <v>22</v>
      </c>
    </row>
    <row r="8" spans="1:10" x14ac:dyDescent="0.35">
      <c r="A8" s="20" t="s">
        <v>2</v>
      </c>
      <c r="B8" s="21">
        <v>82214</v>
      </c>
      <c r="C8" s="10" t="s">
        <v>16</v>
      </c>
      <c r="D8" s="31" t="s">
        <v>23</v>
      </c>
    </row>
    <row r="9" spans="1:10" x14ac:dyDescent="0.35">
      <c r="A9" s="20" t="s">
        <v>3</v>
      </c>
      <c r="B9" s="21">
        <v>184178</v>
      </c>
      <c r="C9" s="10" t="s">
        <v>17</v>
      </c>
      <c r="D9" s="31" t="s">
        <v>23</v>
      </c>
    </row>
    <row r="10" spans="1:10" x14ac:dyDescent="0.35">
      <c r="A10" s="20" t="s">
        <v>4</v>
      </c>
      <c r="B10" s="21">
        <v>16020</v>
      </c>
      <c r="C10" s="10" t="s">
        <v>18</v>
      </c>
      <c r="D10" s="31" t="s">
        <v>40</v>
      </c>
      <c r="J10" s="2"/>
    </row>
    <row r="11" spans="1:10" x14ac:dyDescent="0.35">
      <c r="A11" s="11" t="s">
        <v>9</v>
      </c>
      <c r="B11" s="12">
        <v>72345</v>
      </c>
      <c r="C11" s="10"/>
      <c r="D11" s="31" t="s">
        <v>25</v>
      </c>
    </row>
    <row r="12" spans="1:10" x14ac:dyDescent="0.35">
      <c r="A12" s="13" t="s">
        <v>6</v>
      </c>
      <c r="B12" s="14">
        <v>302000</v>
      </c>
      <c r="C12" s="10"/>
    </row>
    <row r="13" spans="1:10" x14ac:dyDescent="0.35">
      <c r="A13" s="44" t="s">
        <v>48</v>
      </c>
      <c r="B13" s="45">
        <v>700000</v>
      </c>
      <c r="C13" s="10" t="s">
        <v>49</v>
      </c>
    </row>
    <row r="14" spans="1:10" x14ac:dyDescent="0.35">
      <c r="A14" s="15" t="s">
        <v>7</v>
      </c>
      <c r="B14" s="16">
        <f>SUM(B1:B13)</f>
        <v>9848363</v>
      </c>
      <c r="C14" s="10"/>
    </row>
    <row r="15" spans="1:10" x14ac:dyDescent="0.35">
      <c r="A15" s="40"/>
      <c r="B15" s="41"/>
      <c r="C15" s="10"/>
    </row>
    <row r="16" spans="1:10" x14ac:dyDescent="0.35">
      <c r="A16" s="42"/>
      <c r="B16" s="43"/>
      <c r="C16" s="10"/>
    </row>
    <row r="17" spans="1:8" x14ac:dyDescent="0.35">
      <c r="A17" s="42"/>
      <c r="B17" s="43"/>
      <c r="C17" s="10"/>
    </row>
    <row r="18" spans="1:8" x14ac:dyDescent="0.35">
      <c r="A18" s="7"/>
      <c r="B18" s="7"/>
      <c r="C18" s="7"/>
    </row>
    <row r="19" spans="1:8" x14ac:dyDescent="0.35">
      <c r="A19" s="7" t="s">
        <v>35</v>
      </c>
      <c r="B19" s="7"/>
      <c r="C19" s="7"/>
    </row>
    <row r="20" spans="1:8" x14ac:dyDescent="0.35">
      <c r="A20" s="34">
        <f>SUM(B7:B14)</f>
        <v>13079101</v>
      </c>
      <c r="B20" s="7"/>
      <c r="C20" s="35">
        <f>H21-A20</f>
        <v>-5561325</v>
      </c>
    </row>
    <row r="21" spans="1:8" x14ac:dyDescent="0.35">
      <c r="A21" s="8" t="s">
        <v>36</v>
      </c>
      <c r="B21" s="8"/>
      <c r="H21" s="19">
        <f>8615776-1098000</f>
        <v>7517776</v>
      </c>
    </row>
    <row r="22" spans="1:8" x14ac:dyDescent="0.35">
      <c r="A22" s="34">
        <f>SUM(B4,B5,B6)</f>
        <v>1946390</v>
      </c>
      <c r="B22" s="7"/>
    </row>
    <row r="23" spans="1:8" x14ac:dyDescent="0.35">
      <c r="A23" s="7"/>
      <c r="B23" s="7"/>
    </row>
    <row r="24" spans="1:8" x14ac:dyDescent="0.35">
      <c r="A24" s="7"/>
      <c r="B24" s="9"/>
    </row>
    <row r="25" spans="1:8" x14ac:dyDescent="0.35">
      <c r="A25" s="7"/>
      <c r="B25" s="9"/>
    </row>
    <row r="29" spans="1:8" x14ac:dyDescent="0.35">
      <c r="D29" s="2"/>
    </row>
  </sheetData>
  <hyperlinks>
    <hyperlink ref="D6" r:id="rId1" xr:uid="{8F2E7820-F79F-4DA1-92F7-22D70D5BD3FD}"/>
    <hyperlink ref="D7" r:id="rId2" location="/cargos/fiduciaria" xr:uid="{877ACB7E-4F87-4CFC-862F-CE03CCAA5786}"/>
    <hyperlink ref="D8" r:id="rId3" xr:uid="{6D3D8476-6258-43F7-BD2D-EA7419D9006D}"/>
    <hyperlink ref="D9" r:id="rId4" xr:uid="{A9863A7D-62C0-48C6-B511-E46011C7283B}"/>
    <hyperlink ref="D10" r:id="rId5" xr:uid="{44EB5FCB-F77C-40B5-95AA-959D511FAB99}"/>
    <hyperlink ref="D11" r:id="rId6" location="/Pagos" xr:uid="{B25E7C89-9AAD-481F-BA61-2E63BBC1FBF4}"/>
    <hyperlink ref="D5" r:id="rId7" xr:uid="{4EE3ABC1-FE15-4CD1-A373-DB730E9B004A}"/>
    <hyperlink ref="D4" r:id="rId8" xr:uid="{AA5C1B65-ACEA-438E-A36C-433E3645735A}"/>
  </hyperlinks>
  <pageMargins left="0.7" right="0.7" top="0.75" bottom="0.75" header="0.51180555555555496" footer="0.51180555555555496"/>
  <pageSetup firstPageNumber="0" orientation="portrait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tabSelected="1" zoomScaleNormal="100" workbookViewId="0">
      <selection activeCell="D13" sqref="D13"/>
    </sheetView>
  </sheetViews>
  <sheetFormatPr baseColWidth="10" defaultColWidth="9.1796875" defaultRowHeight="14.5" x14ac:dyDescent="0.35"/>
  <cols>
    <col min="1" max="1" width="28.26953125" bestFit="1" customWidth="1"/>
    <col min="2" max="2" width="10.81640625" customWidth="1"/>
    <col min="3" max="3" width="16.54296875" customWidth="1"/>
    <col min="4" max="4" width="16.81640625" bestFit="1" customWidth="1"/>
    <col min="5" max="1026" width="10.54296875"/>
  </cols>
  <sheetData>
    <row r="1" spans="1:5" x14ac:dyDescent="0.35">
      <c r="A1" s="30" t="s">
        <v>26</v>
      </c>
      <c r="B1" s="30"/>
      <c r="C1" s="30">
        <v>1000000</v>
      </c>
    </row>
    <row r="2" spans="1:5" x14ac:dyDescent="0.35">
      <c r="A2" s="20" t="s">
        <v>1</v>
      </c>
      <c r="B2" s="20"/>
      <c r="C2" s="21">
        <v>3050000</v>
      </c>
    </row>
    <row r="3" spans="1:5" x14ac:dyDescent="0.35">
      <c r="A3" s="20" t="s">
        <v>0</v>
      </c>
      <c r="B3" s="20"/>
      <c r="C3" s="21">
        <v>666400</v>
      </c>
      <c r="D3" s="10" t="s">
        <v>34</v>
      </c>
    </row>
    <row r="4" spans="1:5" x14ac:dyDescent="0.35">
      <c r="A4" s="20" t="s">
        <v>46</v>
      </c>
      <c r="B4" s="20"/>
      <c r="C4" s="21">
        <v>880100</v>
      </c>
      <c r="D4" s="10" t="s">
        <v>27</v>
      </c>
      <c r="E4" s="31" t="s">
        <v>20</v>
      </c>
    </row>
    <row r="5" spans="1:5" x14ac:dyDescent="0.35">
      <c r="A5" s="20" t="s">
        <v>15</v>
      </c>
      <c r="B5" s="20"/>
      <c r="C5" s="21">
        <v>666400</v>
      </c>
      <c r="D5" s="10" t="s">
        <v>12</v>
      </c>
      <c r="E5" s="31" t="s">
        <v>19</v>
      </c>
    </row>
    <row r="6" spans="1:5" x14ac:dyDescent="0.35">
      <c r="A6" s="25" t="s">
        <v>5</v>
      </c>
      <c r="B6" s="25"/>
      <c r="C6" s="26">
        <v>400000</v>
      </c>
      <c r="D6" s="10" t="s">
        <v>37</v>
      </c>
      <c r="E6" s="31" t="s">
        <v>21</v>
      </c>
    </row>
    <row r="7" spans="1:5" x14ac:dyDescent="0.35">
      <c r="A7" s="20" t="s">
        <v>2</v>
      </c>
      <c r="B7" s="20"/>
      <c r="C7" s="21">
        <v>82214</v>
      </c>
      <c r="D7" s="10" t="s">
        <v>16</v>
      </c>
      <c r="E7" s="31" t="s">
        <v>23</v>
      </c>
    </row>
    <row r="8" spans="1:5" x14ac:dyDescent="0.35">
      <c r="A8" s="20" t="s">
        <v>3</v>
      </c>
      <c r="B8" s="20"/>
      <c r="C8" s="21">
        <v>184178</v>
      </c>
      <c r="D8" s="10" t="s">
        <v>17</v>
      </c>
      <c r="E8" s="31" t="s">
        <v>23</v>
      </c>
    </row>
    <row r="9" spans="1:5" x14ac:dyDescent="0.35">
      <c r="A9" s="20" t="s">
        <v>4</v>
      </c>
      <c r="B9" s="20"/>
      <c r="C9" s="21">
        <v>15906</v>
      </c>
      <c r="D9" s="10" t="s">
        <v>18</v>
      </c>
      <c r="E9" s="31" t="s">
        <v>24</v>
      </c>
    </row>
    <row r="10" spans="1:5" x14ac:dyDescent="0.35">
      <c r="A10" s="11" t="s">
        <v>9</v>
      </c>
      <c r="B10" s="11"/>
      <c r="C10" s="12">
        <v>72345</v>
      </c>
      <c r="D10" s="10"/>
      <c r="E10" s="31" t="s">
        <v>25</v>
      </c>
    </row>
    <row r="11" spans="1:5" x14ac:dyDescent="0.35">
      <c r="A11" s="46" t="s">
        <v>50</v>
      </c>
      <c r="B11" s="46"/>
      <c r="C11" s="47">
        <v>700000</v>
      </c>
      <c r="D11" s="10"/>
      <c r="E11" s="31"/>
    </row>
    <row r="12" spans="1:5" x14ac:dyDescent="0.35">
      <c r="A12" s="13" t="s">
        <v>6</v>
      </c>
      <c r="B12" s="13"/>
      <c r="C12" s="14">
        <v>400000</v>
      </c>
      <c r="D12" s="10"/>
    </row>
    <row r="13" spans="1:5" x14ac:dyDescent="0.35">
      <c r="A13" s="15" t="s">
        <v>7</v>
      </c>
      <c r="B13" s="15"/>
      <c r="C13" s="16">
        <f>SUM(C1:C12)</f>
        <v>8117543</v>
      </c>
      <c r="D13" s="10"/>
    </row>
  </sheetData>
  <hyperlinks>
    <hyperlink ref="E6" r:id="rId1" xr:uid="{70F64F9A-7361-4724-BC8A-11DC7CC9A77D}"/>
    <hyperlink ref="E7" r:id="rId2" xr:uid="{AE1D7FED-3F99-47C2-A273-0A472D554307}"/>
    <hyperlink ref="E8" r:id="rId3" xr:uid="{8C7F0F52-7B15-4F47-9766-5F8A798A76A0}"/>
    <hyperlink ref="E9" r:id="rId4" xr:uid="{E104ED1A-D610-4CC6-9133-0CE7E4D4D1E7}"/>
    <hyperlink ref="E10" r:id="rId5" location="/Pagos" xr:uid="{A2B4B228-2A9D-453D-89C6-2B43BA92FBC5}"/>
    <hyperlink ref="E5" r:id="rId6" xr:uid="{F0858140-D77D-43D2-B963-874DE93130F0}"/>
    <hyperlink ref="E4" r:id="rId7" xr:uid="{68A5D454-FAF2-48B6-BCBF-379247F47157}"/>
  </hyperlinks>
  <pageMargins left="0.7" right="0.7" top="0.75" bottom="0.75" header="0.51180555555555496" footer="0.51180555555555496"/>
  <pageSetup firstPageNumber="0" orientation="portrait"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"/>
  <sheetViews>
    <sheetView zoomScaleNormal="100" workbookViewId="0">
      <selection sqref="A1:E13"/>
    </sheetView>
  </sheetViews>
  <sheetFormatPr baseColWidth="10" defaultColWidth="9.1796875" defaultRowHeight="14.5" x14ac:dyDescent="0.35"/>
  <cols>
    <col min="1" max="1" width="23.81640625"/>
    <col min="2" max="2" width="13.1796875" bestFit="1" customWidth="1"/>
    <col min="3" max="3" width="12.81640625" bestFit="1" customWidth="1"/>
    <col min="4" max="4" width="16.90625" bestFit="1" customWidth="1"/>
  </cols>
  <sheetData>
    <row r="1" spans="1:5" x14ac:dyDescent="0.35">
      <c r="A1" s="30" t="s">
        <v>26</v>
      </c>
      <c r="B1" s="30"/>
      <c r="C1" s="30">
        <v>1000000</v>
      </c>
    </row>
    <row r="2" spans="1:5" x14ac:dyDescent="0.35">
      <c r="A2" s="20" t="s">
        <v>1</v>
      </c>
      <c r="B2" s="20"/>
      <c r="C2" s="21">
        <v>3050000</v>
      </c>
    </row>
    <row r="3" spans="1:5" x14ac:dyDescent="0.35">
      <c r="A3" s="20" t="s">
        <v>0</v>
      </c>
      <c r="B3" s="20"/>
      <c r="C3" s="21">
        <v>666400</v>
      </c>
      <c r="D3" s="10" t="s">
        <v>34</v>
      </c>
    </row>
    <row r="4" spans="1:5" s="7" customFormat="1" x14ac:dyDescent="0.35">
      <c r="A4" s="20" t="s">
        <v>46</v>
      </c>
      <c r="B4" s="20"/>
      <c r="C4" s="21">
        <v>880100</v>
      </c>
      <c r="D4" s="10" t="s">
        <v>27</v>
      </c>
      <c r="E4" s="31" t="s">
        <v>20</v>
      </c>
    </row>
    <row r="5" spans="1:5" s="7" customFormat="1" x14ac:dyDescent="0.35">
      <c r="A5" s="20" t="s">
        <v>15</v>
      </c>
      <c r="B5" s="20"/>
      <c r="C5" s="21">
        <v>666400</v>
      </c>
      <c r="D5" s="10" t="s">
        <v>12</v>
      </c>
      <c r="E5" s="31" t="s">
        <v>19</v>
      </c>
    </row>
    <row r="6" spans="1:5" s="7" customFormat="1" x14ac:dyDescent="0.35">
      <c r="A6" s="25" t="s">
        <v>5</v>
      </c>
      <c r="B6" s="25"/>
      <c r="C6" s="26">
        <v>400000</v>
      </c>
      <c r="D6" s="10" t="s">
        <v>37</v>
      </c>
      <c r="E6" s="31" t="s">
        <v>21</v>
      </c>
    </row>
    <row r="7" spans="1:5" s="7" customFormat="1" x14ac:dyDescent="0.35">
      <c r="A7" s="20" t="s">
        <v>2</v>
      </c>
      <c r="B7" s="20"/>
      <c r="C7" s="21">
        <v>82214</v>
      </c>
      <c r="D7" s="10" t="s">
        <v>16</v>
      </c>
      <c r="E7" s="31" t="s">
        <v>23</v>
      </c>
    </row>
    <row r="8" spans="1:5" s="7" customFormat="1" x14ac:dyDescent="0.35">
      <c r="A8" s="20" t="s">
        <v>3</v>
      </c>
      <c r="B8" s="20"/>
      <c r="C8" s="21">
        <v>184178</v>
      </c>
      <c r="D8" s="10" t="s">
        <v>17</v>
      </c>
      <c r="E8" s="31" t="s">
        <v>23</v>
      </c>
    </row>
    <row r="9" spans="1:5" x14ac:dyDescent="0.35">
      <c r="A9" s="20" t="s">
        <v>4</v>
      </c>
      <c r="B9" s="20"/>
      <c r="C9" s="21">
        <v>15906</v>
      </c>
      <c r="D9" s="10" t="s">
        <v>18</v>
      </c>
      <c r="E9" s="31" t="s">
        <v>24</v>
      </c>
    </row>
    <row r="10" spans="1:5" x14ac:dyDescent="0.35">
      <c r="A10" s="11" t="s">
        <v>9</v>
      </c>
      <c r="B10" s="11"/>
      <c r="C10" s="12">
        <v>72345</v>
      </c>
      <c r="D10" s="10"/>
      <c r="E10" s="31" t="s">
        <v>25</v>
      </c>
    </row>
    <row r="11" spans="1:5" x14ac:dyDescent="0.35">
      <c r="A11" s="46" t="s">
        <v>50</v>
      </c>
      <c r="B11" s="46"/>
      <c r="C11" s="47">
        <v>700000</v>
      </c>
      <c r="D11" s="10"/>
      <c r="E11" s="31"/>
    </row>
    <row r="12" spans="1:5" x14ac:dyDescent="0.35">
      <c r="A12" s="13" t="s">
        <v>6</v>
      </c>
      <c r="B12" s="13"/>
      <c r="C12" s="14">
        <v>400000</v>
      </c>
      <c r="D12" s="10"/>
    </row>
    <row r="13" spans="1:5" x14ac:dyDescent="0.35">
      <c r="A13" s="15" t="s">
        <v>7</v>
      </c>
      <c r="B13" s="15"/>
      <c r="C13" s="16">
        <f>SUM(C1:C12)</f>
        <v>8117543</v>
      </c>
      <c r="D13" s="10"/>
    </row>
    <row r="14" spans="1:5" x14ac:dyDescent="0.35">
      <c r="A14" s="17"/>
      <c r="B14" s="18"/>
      <c r="C14" s="10"/>
    </row>
    <row r="15" spans="1:5" x14ac:dyDescent="0.35">
      <c r="A15" s="17"/>
      <c r="B15" s="18"/>
      <c r="C15" s="10"/>
    </row>
    <row r="22" spans="3:3" x14ac:dyDescent="0.35">
      <c r="C22">
        <v>230000</v>
      </c>
    </row>
  </sheetData>
  <hyperlinks>
    <hyperlink ref="E6" r:id="rId1" xr:uid="{00000000-0004-0000-0400-000001000000}"/>
    <hyperlink ref="E7" r:id="rId2" xr:uid="{00000000-0004-0000-0400-000003000000}"/>
    <hyperlink ref="E8" r:id="rId3" xr:uid="{00000000-0004-0000-0400-000004000000}"/>
    <hyperlink ref="E9" r:id="rId4" xr:uid="{00000000-0004-0000-0400-000005000000}"/>
    <hyperlink ref="E10" r:id="rId5" location="/Pagos" xr:uid="{00000000-0004-0000-0400-000006000000}"/>
    <hyperlink ref="E5" r:id="rId6" xr:uid="{00000000-0004-0000-0400-000007000000}"/>
    <hyperlink ref="E4" r:id="rId7" xr:uid="{00000000-0004-0000-0400-000008000000}"/>
  </hyperlinks>
  <pageMargins left="0.78749999999999998" right="0.78749999999999998" top="1.05277777777778" bottom="1.05277777777778" header="0.78749999999999998" footer="0.78749999999999998"/>
  <pageSetup firstPageNumber="0" orientation="portrait" r:id="rId8"/>
  <headerFooter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zoomScaleNormal="100" workbookViewId="0">
      <selection activeCell="C3" sqref="C3"/>
    </sheetView>
  </sheetViews>
  <sheetFormatPr baseColWidth="10" defaultColWidth="9.1796875" defaultRowHeight="14.5" x14ac:dyDescent="0.35"/>
  <cols>
    <col min="1" max="1" width="26.1796875"/>
    <col min="2" max="2" width="20.7265625"/>
    <col min="3" max="3" width="12.81640625" bestFit="1" customWidth="1"/>
    <col min="4" max="4" width="16.81640625" bestFit="1" customWidth="1"/>
    <col min="5" max="1025" width="10.54296875"/>
  </cols>
  <sheetData>
    <row r="1" spans="1:5" x14ac:dyDescent="0.35">
      <c r="A1" s="30" t="s">
        <v>26</v>
      </c>
      <c r="B1" s="30"/>
      <c r="C1" s="30">
        <v>1000000</v>
      </c>
    </row>
    <row r="2" spans="1:5" x14ac:dyDescent="0.35">
      <c r="A2" s="20" t="s">
        <v>1</v>
      </c>
      <c r="B2" s="20"/>
      <c r="C2" s="21">
        <v>1786194</v>
      </c>
    </row>
    <row r="3" spans="1:5" x14ac:dyDescent="0.35">
      <c r="A3" s="20" t="s">
        <v>0</v>
      </c>
      <c r="B3" s="20"/>
      <c r="C3" s="21">
        <v>677788</v>
      </c>
      <c r="D3" s="10" t="s">
        <v>34</v>
      </c>
    </row>
    <row r="4" spans="1:5" x14ac:dyDescent="0.35">
      <c r="A4" s="20" t="s">
        <v>28</v>
      </c>
      <c r="B4" s="20"/>
      <c r="C4" s="21">
        <v>875256</v>
      </c>
      <c r="D4" s="10" t="s">
        <v>27</v>
      </c>
      <c r="E4" s="31" t="s">
        <v>20</v>
      </c>
    </row>
    <row r="5" spans="1:5" x14ac:dyDescent="0.35">
      <c r="A5" s="22" t="s">
        <v>11</v>
      </c>
      <c r="B5" s="22"/>
      <c r="C5" s="23">
        <v>822399</v>
      </c>
      <c r="D5" s="10" t="s">
        <v>13</v>
      </c>
      <c r="E5" s="31" t="s">
        <v>20</v>
      </c>
    </row>
    <row r="6" spans="1:5" x14ac:dyDescent="0.35">
      <c r="A6" s="20" t="s">
        <v>15</v>
      </c>
      <c r="B6" s="20"/>
      <c r="C6" s="21">
        <v>666414</v>
      </c>
      <c r="D6" s="10" t="s">
        <v>12</v>
      </c>
      <c r="E6" s="31" t="s">
        <v>19</v>
      </c>
    </row>
    <row r="7" spans="1:5" x14ac:dyDescent="0.35">
      <c r="A7" s="25" t="s">
        <v>5</v>
      </c>
      <c r="B7" s="25" t="s">
        <v>38</v>
      </c>
      <c r="C7" s="26">
        <f>338000+23000</f>
        <v>361000</v>
      </c>
      <c r="D7" s="10" t="s">
        <v>37</v>
      </c>
      <c r="E7" s="31" t="s">
        <v>21</v>
      </c>
    </row>
    <row r="8" spans="1:5" x14ac:dyDescent="0.35">
      <c r="A8" s="20" t="s">
        <v>10</v>
      </c>
      <c r="B8" s="20"/>
      <c r="C8" s="21">
        <v>1873981</v>
      </c>
      <c r="D8" s="10" t="s">
        <v>14</v>
      </c>
      <c r="E8" s="31" t="s">
        <v>22</v>
      </c>
    </row>
    <row r="9" spans="1:5" x14ac:dyDescent="0.35">
      <c r="A9" s="20" t="s">
        <v>2</v>
      </c>
      <c r="B9" s="20"/>
      <c r="C9" s="21">
        <v>82254</v>
      </c>
      <c r="D9" s="10" t="s">
        <v>16</v>
      </c>
      <c r="E9" s="31" t="s">
        <v>23</v>
      </c>
    </row>
    <row r="10" spans="1:5" s="7" customFormat="1" x14ac:dyDescent="0.35">
      <c r="A10" s="20" t="s">
        <v>3</v>
      </c>
      <c r="B10" s="20"/>
      <c r="C10" s="21">
        <v>167800</v>
      </c>
      <c r="D10" s="10" t="s">
        <v>17</v>
      </c>
      <c r="E10" s="31" t="s">
        <v>23</v>
      </c>
    </row>
    <row r="11" spans="1:5" x14ac:dyDescent="0.35">
      <c r="A11" s="20" t="s">
        <v>4</v>
      </c>
      <c r="B11" s="20"/>
      <c r="C11" s="21">
        <v>31383</v>
      </c>
      <c r="D11" s="10" t="s">
        <v>18</v>
      </c>
      <c r="E11" s="31" t="s">
        <v>24</v>
      </c>
    </row>
    <row r="12" spans="1:5" x14ac:dyDescent="0.35">
      <c r="A12" s="11" t="s">
        <v>9</v>
      </c>
      <c r="B12" s="11"/>
      <c r="C12" s="12">
        <v>88924</v>
      </c>
      <c r="D12" s="10"/>
      <c r="E12" s="31" t="s">
        <v>25</v>
      </c>
    </row>
    <row r="13" spans="1:5" x14ac:dyDescent="0.35">
      <c r="A13" s="13" t="s">
        <v>6</v>
      </c>
      <c r="B13" s="13"/>
      <c r="C13" s="14">
        <v>400000</v>
      </c>
      <c r="D13" s="10"/>
    </row>
    <row r="14" spans="1:5" x14ac:dyDescent="0.35">
      <c r="A14" s="15" t="s">
        <v>7</v>
      </c>
      <c r="B14" s="15"/>
      <c r="C14" s="16">
        <f>SUM(C1:C13)</f>
        <v>8833393</v>
      </c>
      <c r="D14" s="10"/>
    </row>
    <row r="15" spans="1:5" x14ac:dyDescent="0.35">
      <c r="A15" s="11"/>
      <c r="B15" s="12"/>
      <c r="C15" s="10"/>
    </row>
    <row r="16" spans="1:5" x14ac:dyDescent="0.35">
      <c r="A16" s="11"/>
      <c r="B16" s="12"/>
      <c r="C16" s="10"/>
    </row>
    <row r="17" spans="1:3" x14ac:dyDescent="0.35">
      <c r="A17" s="15"/>
      <c r="B17" s="16"/>
      <c r="C17" s="10"/>
    </row>
    <row r="18" spans="1:3" x14ac:dyDescent="0.35">
      <c r="A18" s="17"/>
      <c r="B18" s="18"/>
      <c r="C18" s="10"/>
    </row>
    <row r="19" spans="1:3" x14ac:dyDescent="0.35">
      <c r="A19" s="17"/>
      <c r="B19" s="18"/>
      <c r="C19" s="10"/>
    </row>
  </sheetData>
  <hyperlinks>
    <hyperlink ref="E5" r:id="rId1" xr:uid="{00000000-0004-0000-0500-000000000000}"/>
    <hyperlink ref="E7" r:id="rId2" xr:uid="{00000000-0004-0000-0500-000001000000}"/>
    <hyperlink ref="E8" r:id="rId3" location="/cargos/fiduciaria" xr:uid="{00000000-0004-0000-0500-000002000000}"/>
    <hyperlink ref="E9" r:id="rId4" xr:uid="{00000000-0004-0000-0500-000003000000}"/>
    <hyperlink ref="E10" r:id="rId5" xr:uid="{00000000-0004-0000-0500-000004000000}"/>
    <hyperlink ref="E11" r:id="rId6" xr:uid="{00000000-0004-0000-0500-000005000000}"/>
    <hyperlink ref="E12" r:id="rId7" location="/Pagos" xr:uid="{00000000-0004-0000-0500-000006000000}"/>
    <hyperlink ref="E6" r:id="rId8" xr:uid="{00000000-0004-0000-0500-000007000000}"/>
    <hyperlink ref="E4" r:id="rId9" xr:uid="{00000000-0004-0000-0500-000008000000}"/>
  </hyperlinks>
  <pageMargins left="0.7" right="0.7" top="0.75" bottom="0.75" header="0.51180555555555496" footer="0.51180555555555496"/>
  <pageSetup firstPageNumber="0" orientation="portrait" r:id="rId1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"/>
  <sheetViews>
    <sheetView zoomScale="83" zoomScaleNormal="160" workbookViewId="0">
      <selection sqref="A1:E19"/>
    </sheetView>
  </sheetViews>
  <sheetFormatPr baseColWidth="10" defaultColWidth="9.1796875" defaultRowHeight="14.5" x14ac:dyDescent="0.35"/>
  <cols>
    <col min="1" max="1" width="28.26953125"/>
    <col min="2" max="2" width="15.26953125" bestFit="1" customWidth="1"/>
    <col min="3" max="3" width="18.81640625" bestFit="1" customWidth="1"/>
    <col min="4" max="4" width="18.1796875" customWidth="1"/>
  </cols>
  <sheetData>
    <row r="1" spans="1:5" x14ac:dyDescent="0.35">
      <c r="A1" s="30" t="s">
        <v>26</v>
      </c>
      <c r="B1" s="30"/>
      <c r="C1" s="30">
        <v>0</v>
      </c>
    </row>
    <row r="2" spans="1:5" x14ac:dyDescent="0.35">
      <c r="A2" s="20" t="s">
        <v>1</v>
      </c>
      <c r="B2" s="20"/>
      <c r="C2" s="21">
        <v>741098</v>
      </c>
    </row>
    <row r="3" spans="1:5" x14ac:dyDescent="0.35">
      <c r="A3" s="20" t="s">
        <v>0</v>
      </c>
      <c r="B3" s="20"/>
      <c r="C3" s="21">
        <v>677788</v>
      </c>
      <c r="D3" s="10" t="s">
        <v>34</v>
      </c>
    </row>
    <row r="4" spans="1:5" x14ac:dyDescent="0.35">
      <c r="A4" s="20" t="s">
        <v>28</v>
      </c>
      <c r="B4" s="20"/>
      <c r="C4" s="21">
        <v>875256</v>
      </c>
      <c r="D4" s="10" t="s">
        <v>27</v>
      </c>
      <c r="E4" s="31" t="s">
        <v>20</v>
      </c>
    </row>
    <row r="5" spans="1:5" x14ac:dyDescent="0.35">
      <c r="A5" s="22" t="s">
        <v>11</v>
      </c>
      <c r="B5" s="22"/>
      <c r="C5" s="23">
        <v>822399</v>
      </c>
      <c r="D5" s="10" t="s">
        <v>13</v>
      </c>
      <c r="E5" s="31" t="s">
        <v>20</v>
      </c>
    </row>
    <row r="6" spans="1:5" x14ac:dyDescent="0.35">
      <c r="A6" s="20" t="s">
        <v>15</v>
      </c>
      <c r="B6" s="20"/>
      <c r="C6" s="21">
        <v>666414</v>
      </c>
      <c r="D6" s="10" t="s">
        <v>12</v>
      </c>
      <c r="E6" s="31" t="s">
        <v>19</v>
      </c>
    </row>
    <row r="7" spans="1:5" x14ac:dyDescent="0.35">
      <c r="A7" s="25" t="s">
        <v>5</v>
      </c>
      <c r="B7" s="25" t="s">
        <v>39</v>
      </c>
      <c r="C7" s="26">
        <v>399000</v>
      </c>
      <c r="D7" s="10" t="s">
        <v>37</v>
      </c>
      <c r="E7" s="31" t="s">
        <v>21</v>
      </c>
    </row>
    <row r="8" spans="1:5" x14ac:dyDescent="0.35">
      <c r="A8" s="20" t="s">
        <v>10</v>
      </c>
      <c r="B8" s="20"/>
      <c r="C8" s="21">
        <v>1873981</v>
      </c>
      <c r="D8" s="10" t="s">
        <v>14</v>
      </c>
      <c r="E8" s="31" t="s">
        <v>22</v>
      </c>
    </row>
    <row r="9" spans="1:5" x14ac:dyDescent="0.35">
      <c r="A9" s="20" t="s">
        <v>2</v>
      </c>
      <c r="B9" s="20"/>
      <c r="C9" s="21">
        <v>82228</v>
      </c>
      <c r="D9" s="10" t="s">
        <v>16</v>
      </c>
      <c r="E9" s="31" t="s">
        <v>23</v>
      </c>
    </row>
    <row r="10" spans="1:5" x14ac:dyDescent="0.35">
      <c r="A10" s="20" t="s">
        <v>3</v>
      </c>
      <c r="B10" s="20"/>
      <c r="C10" s="21">
        <v>171330</v>
      </c>
      <c r="D10" s="10" t="s">
        <v>17</v>
      </c>
      <c r="E10" s="31" t="s">
        <v>23</v>
      </c>
    </row>
    <row r="11" spans="1:5" x14ac:dyDescent="0.35">
      <c r="A11" s="20" t="s">
        <v>4</v>
      </c>
      <c r="B11" s="20"/>
      <c r="C11" s="21">
        <v>21690</v>
      </c>
      <c r="D11" s="10" t="s">
        <v>18</v>
      </c>
      <c r="E11" s="31" t="s">
        <v>24</v>
      </c>
    </row>
    <row r="12" spans="1:5" x14ac:dyDescent="0.35">
      <c r="A12" s="11" t="s">
        <v>9</v>
      </c>
      <c r="B12" s="11"/>
      <c r="C12" s="12">
        <v>88922</v>
      </c>
      <c r="D12" s="10"/>
      <c r="E12" s="31" t="s">
        <v>25</v>
      </c>
    </row>
    <row r="13" spans="1:5" x14ac:dyDescent="0.35">
      <c r="A13" s="13" t="s">
        <v>6</v>
      </c>
      <c r="B13" s="13"/>
      <c r="C13" s="14">
        <v>400000</v>
      </c>
      <c r="D13" s="10"/>
    </row>
    <row r="14" spans="1:5" x14ac:dyDescent="0.35">
      <c r="A14" s="15" t="s">
        <v>7</v>
      </c>
      <c r="B14" s="15"/>
      <c r="C14" s="16">
        <f>SUM(C1:C13)</f>
        <v>6820106</v>
      </c>
      <c r="D14" s="10"/>
    </row>
    <row r="15" spans="1:5" x14ac:dyDescent="0.35">
      <c r="A15" s="32"/>
      <c r="B15" s="33"/>
      <c r="C15" s="10"/>
    </row>
    <row r="16" spans="1:5" x14ac:dyDescent="0.35">
      <c r="A16" s="32"/>
      <c r="B16" s="33"/>
      <c r="C16" s="10"/>
    </row>
    <row r="17" spans="1:3" x14ac:dyDescent="0.35">
      <c r="A17" s="15"/>
      <c r="B17" s="16"/>
      <c r="C17" s="10"/>
    </row>
    <row r="18" spans="1:3" x14ac:dyDescent="0.35">
      <c r="A18" s="17"/>
      <c r="B18" s="18"/>
      <c r="C18" s="10"/>
    </row>
    <row r="19" spans="1:3" x14ac:dyDescent="0.35">
      <c r="A19" s="17"/>
      <c r="B19" s="18"/>
      <c r="C19" s="10"/>
    </row>
  </sheetData>
  <hyperlinks>
    <hyperlink ref="E5" r:id="rId1" xr:uid="{00000000-0004-0000-0600-000000000000}"/>
    <hyperlink ref="E7" r:id="rId2" xr:uid="{00000000-0004-0000-0600-000001000000}"/>
    <hyperlink ref="E8" r:id="rId3" location="/cargos/fiduciaria" xr:uid="{00000000-0004-0000-0600-000002000000}"/>
    <hyperlink ref="E9" r:id="rId4" xr:uid="{00000000-0004-0000-0600-000003000000}"/>
    <hyperlink ref="E10" r:id="rId5" xr:uid="{00000000-0004-0000-0600-000004000000}"/>
    <hyperlink ref="E11" r:id="rId6" xr:uid="{00000000-0004-0000-0600-000005000000}"/>
    <hyperlink ref="E12" r:id="rId7" location="/Pagos" xr:uid="{00000000-0004-0000-0600-000006000000}"/>
    <hyperlink ref="E6" r:id="rId8" xr:uid="{00000000-0004-0000-0600-000007000000}"/>
    <hyperlink ref="E4" r:id="rId9" xr:uid="{00000000-0004-0000-0600-000008000000}"/>
  </hyperlinks>
  <pageMargins left="0.78749999999999998" right="0.78749999999999998" top="1.05277777777778" bottom="1.05277777777778" header="0.78749999999999998" footer="0.78749999999999998"/>
  <pageSetup firstPageNumber="0" orientation="portrait" r:id="rId10"/>
  <headerFooter>
    <oddHeader>&amp;C&amp;"Times New Roman,Normal"&amp;12&amp;A</oddHeader>
    <oddFooter>&amp;C&amp;"Times New Roman,Normal"&amp;12Página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"/>
  <sheetViews>
    <sheetView zoomScale="110" zoomScaleNormal="110" workbookViewId="0">
      <selection sqref="A1:E14"/>
    </sheetView>
  </sheetViews>
  <sheetFormatPr baseColWidth="10" defaultColWidth="9.1796875" defaultRowHeight="14.5" x14ac:dyDescent="0.35"/>
  <cols>
    <col min="1" max="1" width="25.453125"/>
    <col min="2" max="2" width="21.26953125"/>
    <col min="3" max="3" width="18.1796875" bestFit="1" customWidth="1"/>
    <col min="4" max="1025" width="10.54296875"/>
  </cols>
  <sheetData>
    <row r="1" spans="1:5" x14ac:dyDescent="0.35">
      <c r="A1" s="30" t="s">
        <v>26</v>
      </c>
      <c r="B1" s="30"/>
      <c r="C1" s="30">
        <v>0</v>
      </c>
    </row>
    <row r="2" spans="1:5" x14ac:dyDescent="0.35">
      <c r="A2" s="20" t="s">
        <v>1</v>
      </c>
      <c r="B2" s="20"/>
      <c r="C2" s="21">
        <v>1516006</v>
      </c>
    </row>
    <row r="3" spans="1:5" x14ac:dyDescent="0.35">
      <c r="A3" s="20" t="s">
        <v>0</v>
      </c>
      <c r="B3" s="20"/>
      <c r="C3" s="21">
        <v>677788</v>
      </c>
      <c r="D3" s="10" t="s">
        <v>34</v>
      </c>
    </row>
    <row r="4" spans="1:5" x14ac:dyDescent="0.35">
      <c r="A4" s="20" t="s">
        <v>28</v>
      </c>
      <c r="B4" s="20"/>
      <c r="C4" s="21">
        <v>875256</v>
      </c>
      <c r="D4" s="10" t="s">
        <v>27</v>
      </c>
      <c r="E4" s="31" t="s">
        <v>20</v>
      </c>
    </row>
    <row r="5" spans="1:5" x14ac:dyDescent="0.35">
      <c r="A5" s="22" t="s">
        <v>11</v>
      </c>
      <c r="B5" s="22"/>
      <c r="C5" s="23">
        <v>822399</v>
      </c>
      <c r="D5" s="10" t="s">
        <v>13</v>
      </c>
      <c r="E5" s="31" t="s">
        <v>20</v>
      </c>
    </row>
    <row r="6" spans="1:5" x14ac:dyDescent="0.35">
      <c r="A6" s="20" t="s">
        <v>15</v>
      </c>
      <c r="B6" s="20"/>
      <c r="C6" s="21">
        <v>666414</v>
      </c>
      <c r="D6" s="10" t="s">
        <v>12</v>
      </c>
      <c r="E6" s="31" t="s">
        <v>19</v>
      </c>
    </row>
    <row r="7" spans="1:5" x14ac:dyDescent="0.35">
      <c r="A7" s="25" t="s">
        <v>5</v>
      </c>
      <c r="B7" s="25" t="s">
        <v>39</v>
      </c>
      <c r="C7" s="26">
        <v>399000</v>
      </c>
      <c r="D7" s="10" t="s">
        <v>37</v>
      </c>
      <c r="E7" s="31" t="s">
        <v>21</v>
      </c>
    </row>
    <row r="8" spans="1:5" x14ac:dyDescent="0.35">
      <c r="A8" s="20" t="s">
        <v>10</v>
      </c>
      <c r="B8" s="20"/>
      <c r="C8" s="21">
        <v>1873981</v>
      </c>
      <c r="D8" s="10" t="s">
        <v>14</v>
      </c>
      <c r="E8" s="31" t="s">
        <v>22</v>
      </c>
    </row>
    <row r="9" spans="1:5" x14ac:dyDescent="0.35">
      <c r="A9" s="20" t="s">
        <v>2</v>
      </c>
      <c r="B9" s="20"/>
      <c r="C9" s="21">
        <v>82228</v>
      </c>
      <c r="D9" s="10" t="s">
        <v>16</v>
      </c>
      <c r="E9" s="31" t="s">
        <v>23</v>
      </c>
    </row>
    <row r="10" spans="1:5" x14ac:dyDescent="0.35">
      <c r="A10" s="20" t="s">
        <v>3</v>
      </c>
      <c r="B10" s="20"/>
      <c r="C10" s="21">
        <v>185057</v>
      </c>
      <c r="D10" s="10" t="s">
        <v>17</v>
      </c>
      <c r="E10" s="31" t="s">
        <v>23</v>
      </c>
    </row>
    <row r="11" spans="1:5" x14ac:dyDescent="0.35">
      <c r="A11" s="20" t="s">
        <v>4</v>
      </c>
      <c r="B11" s="20"/>
      <c r="C11" s="21">
        <v>31666</v>
      </c>
      <c r="D11" s="10" t="s">
        <v>18</v>
      </c>
      <c r="E11" s="31" t="s">
        <v>24</v>
      </c>
    </row>
    <row r="12" spans="1:5" x14ac:dyDescent="0.35">
      <c r="A12" s="11" t="s">
        <v>9</v>
      </c>
      <c r="B12" s="11"/>
      <c r="C12" s="12">
        <v>88922</v>
      </c>
      <c r="D12" s="10"/>
      <c r="E12" s="31" t="s">
        <v>25</v>
      </c>
    </row>
    <row r="13" spans="1:5" x14ac:dyDescent="0.35">
      <c r="A13" s="28" t="s">
        <v>6</v>
      </c>
      <c r="B13" s="28"/>
      <c r="C13" s="29">
        <v>400000</v>
      </c>
      <c r="D13" s="10"/>
    </row>
    <row r="14" spans="1:5" x14ac:dyDescent="0.35">
      <c r="A14" s="15" t="s">
        <v>7</v>
      </c>
      <c r="B14" s="15"/>
      <c r="C14" s="16">
        <f>SUM(C1:C13)</f>
        <v>7618717</v>
      </c>
      <c r="D14" s="10"/>
    </row>
    <row r="15" spans="1:5" x14ac:dyDescent="0.35">
      <c r="A15" s="32"/>
      <c r="B15" s="33"/>
      <c r="C15" s="10"/>
    </row>
    <row r="16" spans="1:5" x14ac:dyDescent="0.35">
      <c r="A16" s="32"/>
      <c r="B16" s="33"/>
      <c r="C16" s="10"/>
    </row>
    <row r="17" spans="1:3" x14ac:dyDescent="0.35">
      <c r="A17" s="15"/>
      <c r="B17" s="16"/>
      <c r="C17" s="10"/>
    </row>
    <row r="18" spans="1:3" x14ac:dyDescent="0.35">
      <c r="A18" s="17"/>
      <c r="B18" s="18"/>
      <c r="C18" s="10"/>
    </row>
    <row r="19" spans="1:3" x14ac:dyDescent="0.35">
      <c r="A19" s="17"/>
      <c r="B19" s="18"/>
      <c r="C19" s="10"/>
    </row>
  </sheetData>
  <hyperlinks>
    <hyperlink ref="E5" r:id="rId1" xr:uid="{00000000-0004-0000-0700-000000000000}"/>
    <hyperlink ref="E7" r:id="rId2" xr:uid="{00000000-0004-0000-0700-000001000000}"/>
    <hyperlink ref="E8" r:id="rId3" location="/cargos/fiduciaria" xr:uid="{00000000-0004-0000-0700-000002000000}"/>
    <hyperlink ref="E9" r:id="rId4" xr:uid="{00000000-0004-0000-0700-000003000000}"/>
    <hyperlink ref="E10" r:id="rId5" xr:uid="{00000000-0004-0000-0700-000004000000}"/>
    <hyperlink ref="E11" r:id="rId6" xr:uid="{00000000-0004-0000-0700-000005000000}"/>
    <hyperlink ref="E12" r:id="rId7" location="/Pagos" xr:uid="{00000000-0004-0000-0700-000006000000}"/>
    <hyperlink ref="E6" r:id="rId8" xr:uid="{00000000-0004-0000-0700-000007000000}"/>
    <hyperlink ref="E4" r:id="rId9" xr:uid="{00000000-0004-0000-0700-000008000000}"/>
  </hyperlinks>
  <pageMargins left="0.7" right="0.7" top="0.75" bottom="0.75" header="0.51180555555555496" footer="0.51180555555555496"/>
  <pageSetup firstPageNumber="0" orientation="portrait" r:id="rId1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"/>
  <sheetViews>
    <sheetView zoomScale="108" zoomScaleNormal="100" workbookViewId="0">
      <selection sqref="A1:E14"/>
    </sheetView>
  </sheetViews>
  <sheetFormatPr baseColWidth="10" defaultColWidth="9.1796875" defaultRowHeight="14.5" x14ac:dyDescent="0.35"/>
  <cols>
    <col min="1" max="1" width="39.26953125" customWidth="1"/>
    <col min="2" max="2" width="31.81640625" customWidth="1"/>
    <col min="3" max="3" width="18" bestFit="1" customWidth="1"/>
    <col min="4" max="4" width="25.7265625"/>
  </cols>
  <sheetData>
    <row r="1" spans="1:5" x14ac:dyDescent="0.35">
      <c r="A1" s="30" t="s">
        <v>26</v>
      </c>
      <c r="B1" s="30"/>
      <c r="C1" s="30">
        <v>0</v>
      </c>
    </row>
    <row r="2" spans="1:5" x14ac:dyDescent="0.35">
      <c r="A2" s="20" t="s">
        <v>1</v>
      </c>
      <c r="B2" s="20">
        <v>2400000</v>
      </c>
      <c r="C2" s="21">
        <v>4340984</v>
      </c>
    </row>
    <row r="3" spans="1:5" x14ac:dyDescent="0.35">
      <c r="A3" s="20" t="s">
        <v>0</v>
      </c>
      <c r="B3" s="20"/>
      <c r="C3" s="21">
        <v>677788</v>
      </c>
      <c r="D3" s="10" t="s">
        <v>34</v>
      </c>
    </row>
    <row r="4" spans="1:5" x14ac:dyDescent="0.35">
      <c r="A4" s="20" t="s">
        <v>28</v>
      </c>
      <c r="B4" s="20"/>
      <c r="C4" s="21">
        <v>875256</v>
      </c>
      <c r="D4" s="10" t="s">
        <v>27</v>
      </c>
      <c r="E4" s="31" t="s">
        <v>20</v>
      </c>
    </row>
    <row r="5" spans="1:5" x14ac:dyDescent="0.35">
      <c r="A5" s="22" t="s">
        <v>11</v>
      </c>
      <c r="B5" s="22"/>
      <c r="C5" s="23">
        <v>822399</v>
      </c>
      <c r="D5" s="10" t="s">
        <v>13</v>
      </c>
      <c r="E5" s="31" t="s">
        <v>20</v>
      </c>
    </row>
    <row r="6" spans="1:5" x14ac:dyDescent="0.35">
      <c r="A6" s="20" t="s">
        <v>15</v>
      </c>
      <c r="B6" s="20"/>
      <c r="C6" s="21">
        <v>666464</v>
      </c>
      <c r="D6" s="10" t="s">
        <v>12</v>
      </c>
      <c r="E6" s="31" t="s">
        <v>19</v>
      </c>
    </row>
    <row r="7" spans="1:5" x14ac:dyDescent="0.35">
      <c r="A7" s="25" t="s">
        <v>5</v>
      </c>
      <c r="B7" s="25" t="s">
        <v>39</v>
      </c>
      <c r="C7" s="26">
        <v>399000</v>
      </c>
      <c r="D7" s="10" t="s">
        <v>37</v>
      </c>
      <c r="E7" s="31" t="s">
        <v>21</v>
      </c>
    </row>
    <row r="8" spans="1:5" x14ac:dyDescent="0.35">
      <c r="A8" s="20" t="s">
        <v>10</v>
      </c>
      <c r="B8" s="20"/>
      <c r="C8" s="21">
        <v>1873981</v>
      </c>
      <c r="D8" s="10" t="s">
        <v>14</v>
      </c>
      <c r="E8" s="31" t="s">
        <v>22</v>
      </c>
    </row>
    <row r="9" spans="1:5" x14ac:dyDescent="0.35">
      <c r="A9" s="20" t="s">
        <v>2</v>
      </c>
      <c r="B9" s="20"/>
      <c r="C9" s="21">
        <v>82254</v>
      </c>
      <c r="D9" s="10" t="s">
        <v>16</v>
      </c>
      <c r="E9" s="31" t="s">
        <v>23</v>
      </c>
    </row>
    <row r="10" spans="1:5" x14ac:dyDescent="0.35">
      <c r="A10" s="20" t="s">
        <v>3</v>
      </c>
      <c r="B10" s="20"/>
      <c r="C10" s="21">
        <v>168044</v>
      </c>
      <c r="D10" s="10" t="s">
        <v>17</v>
      </c>
      <c r="E10" s="31" t="s">
        <v>23</v>
      </c>
    </row>
    <row r="11" spans="1:5" x14ac:dyDescent="0.35">
      <c r="A11" s="20" t="s">
        <v>4</v>
      </c>
      <c r="B11" s="20"/>
      <c r="C11" s="21">
        <v>34218</v>
      </c>
      <c r="D11" s="10" t="s">
        <v>18</v>
      </c>
      <c r="E11" s="31" t="s">
        <v>24</v>
      </c>
    </row>
    <row r="12" spans="1:5" x14ac:dyDescent="0.35">
      <c r="A12" s="11" t="s">
        <v>9</v>
      </c>
      <c r="B12" s="11"/>
      <c r="C12" s="12">
        <v>72345</v>
      </c>
      <c r="D12" s="10"/>
      <c r="E12" s="31" t="s">
        <v>25</v>
      </c>
    </row>
    <row r="13" spans="1:5" x14ac:dyDescent="0.35">
      <c r="A13" s="28" t="s">
        <v>6</v>
      </c>
      <c r="B13" s="28"/>
      <c r="C13" s="29">
        <v>400000</v>
      </c>
      <c r="D13" s="10"/>
    </row>
    <row r="14" spans="1:5" x14ac:dyDescent="0.35">
      <c r="A14" s="15" t="s">
        <v>7</v>
      </c>
      <c r="B14" s="15"/>
      <c r="C14" s="16">
        <f>SUM(C1:C13)</f>
        <v>10412733</v>
      </c>
      <c r="D14" s="10"/>
    </row>
    <row r="15" spans="1:5" x14ac:dyDescent="0.35">
      <c r="A15" s="17"/>
      <c r="B15" s="18"/>
      <c r="C15" s="10"/>
    </row>
    <row r="16" spans="1:5" x14ac:dyDescent="0.35">
      <c r="A16" s="17"/>
      <c r="B16" s="18"/>
      <c r="C16" s="10"/>
    </row>
  </sheetData>
  <phoneticPr fontId="3" type="noConversion"/>
  <hyperlinks>
    <hyperlink ref="E5" r:id="rId1" xr:uid="{00000000-0004-0000-0800-000000000000}"/>
    <hyperlink ref="E7" r:id="rId2" xr:uid="{00000000-0004-0000-0800-000001000000}"/>
    <hyperlink ref="E8" r:id="rId3" location="/cargos/fiduciaria" xr:uid="{00000000-0004-0000-0800-000002000000}"/>
    <hyperlink ref="E9" r:id="rId4" xr:uid="{00000000-0004-0000-0800-000003000000}"/>
    <hyperlink ref="E10" r:id="rId5" xr:uid="{00000000-0004-0000-0800-000004000000}"/>
    <hyperlink ref="E11" r:id="rId6" xr:uid="{00000000-0004-0000-0800-000005000000}"/>
    <hyperlink ref="E12" r:id="rId7" location="/Pagos" xr:uid="{00000000-0004-0000-0800-000006000000}"/>
    <hyperlink ref="E6" r:id="rId8" xr:uid="{00000000-0004-0000-0800-000007000000}"/>
    <hyperlink ref="E4" r:id="rId9" xr:uid="{00000000-0004-0000-0800-000008000000}"/>
  </hyperlinks>
  <pageMargins left="0.78749999999999998" right="0.78749999999999998" top="1.05277777777778" bottom="1.05277777777778" header="0.78749999999999998" footer="0.78749999999999998"/>
  <pageSetup firstPageNumber="0" orientation="portrait" r:id="rId10"/>
  <headerFooter>
    <oddHeader>&amp;C&amp;"Times New Roman,Normal"&amp;12&amp;A</oddHeader>
    <oddFooter>&amp;C&amp;"Times New Roman,Normal"&amp;12Página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7"/>
  <sheetViews>
    <sheetView zoomScaleNormal="100" workbookViewId="0">
      <selection sqref="A1:E14"/>
    </sheetView>
  </sheetViews>
  <sheetFormatPr baseColWidth="10" defaultColWidth="9.1796875" defaultRowHeight="14.5" x14ac:dyDescent="0.35"/>
  <cols>
    <col min="1" max="1" width="23.81640625" bestFit="1" customWidth="1"/>
    <col min="2" max="2" width="29.7265625"/>
    <col min="3" max="3" width="17.1796875" bestFit="1" customWidth="1"/>
    <col min="4" max="4" width="16.81640625" bestFit="1" customWidth="1"/>
  </cols>
  <sheetData>
    <row r="1" spans="1:5" x14ac:dyDescent="0.35">
      <c r="A1" s="30" t="s">
        <v>26</v>
      </c>
      <c r="B1" s="30"/>
      <c r="C1" s="30">
        <v>1000000</v>
      </c>
    </row>
    <row r="2" spans="1:5" x14ac:dyDescent="0.35">
      <c r="A2" s="37" t="s">
        <v>1</v>
      </c>
      <c r="B2" s="37"/>
      <c r="C2" s="38">
        <v>1758645</v>
      </c>
    </row>
    <row r="3" spans="1:5" x14ac:dyDescent="0.35">
      <c r="A3" s="20" t="s">
        <v>0</v>
      </c>
      <c r="B3" s="20"/>
      <c r="C3" s="21">
        <v>677788</v>
      </c>
      <c r="D3" s="10" t="s">
        <v>34</v>
      </c>
    </row>
    <row r="4" spans="1:5" x14ac:dyDescent="0.35">
      <c r="A4" s="20" t="s">
        <v>28</v>
      </c>
      <c r="B4" s="20"/>
      <c r="C4" s="21">
        <v>875256</v>
      </c>
      <c r="D4" s="10" t="s">
        <v>27</v>
      </c>
      <c r="E4" s="31" t="s">
        <v>20</v>
      </c>
    </row>
    <row r="5" spans="1:5" x14ac:dyDescent="0.35">
      <c r="A5" s="22" t="s">
        <v>11</v>
      </c>
      <c r="B5" s="22"/>
      <c r="C5" s="23">
        <v>822399</v>
      </c>
      <c r="D5" s="10" t="s">
        <v>13</v>
      </c>
      <c r="E5" s="36" t="s">
        <v>20</v>
      </c>
    </row>
    <row r="6" spans="1:5" x14ac:dyDescent="0.35">
      <c r="A6" s="20" t="s">
        <v>15</v>
      </c>
      <c r="B6" s="20"/>
      <c r="C6" s="21">
        <v>666450</v>
      </c>
      <c r="D6" s="10" t="s">
        <v>12</v>
      </c>
      <c r="E6" s="36" t="s">
        <v>19</v>
      </c>
    </row>
    <row r="7" spans="1:5" x14ac:dyDescent="0.35">
      <c r="A7" s="25" t="s">
        <v>5</v>
      </c>
      <c r="B7" s="25"/>
      <c r="C7" s="26">
        <v>338000</v>
      </c>
      <c r="D7" s="10" t="s">
        <v>37</v>
      </c>
      <c r="E7" s="31" t="s">
        <v>21</v>
      </c>
    </row>
    <row r="8" spans="1:5" x14ac:dyDescent="0.35">
      <c r="A8" s="20" t="s">
        <v>10</v>
      </c>
      <c r="B8" s="20"/>
      <c r="C8" s="21">
        <v>1873981</v>
      </c>
      <c r="D8" s="10" t="s">
        <v>14</v>
      </c>
      <c r="E8" s="31" t="s">
        <v>22</v>
      </c>
    </row>
    <row r="9" spans="1:5" x14ac:dyDescent="0.35">
      <c r="A9" s="20" t="s">
        <v>2</v>
      </c>
      <c r="B9" s="20"/>
      <c r="C9" s="21">
        <v>82241</v>
      </c>
      <c r="D9" s="10" t="s">
        <v>16</v>
      </c>
      <c r="E9" s="36" t="s">
        <v>23</v>
      </c>
    </row>
    <row r="10" spans="1:5" x14ac:dyDescent="0.35">
      <c r="A10" s="20" t="s">
        <v>3</v>
      </c>
      <c r="B10" s="20"/>
      <c r="C10" s="21">
        <v>201277</v>
      </c>
      <c r="D10" s="10" t="s">
        <v>17</v>
      </c>
      <c r="E10" s="36" t="s">
        <v>23</v>
      </c>
    </row>
    <row r="11" spans="1:5" x14ac:dyDescent="0.35">
      <c r="A11" s="20" t="s">
        <v>4</v>
      </c>
      <c r="B11" s="20"/>
      <c r="C11" s="21">
        <v>27745</v>
      </c>
      <c r="D11" s="10" t="s">
        <v>18</v>
      </c>
      <c r="E11" s="31" t="s">
        <v>24</v>
      </c>
    </row>
    <row r="12" spans="1:5" x14ac:dyDescent="0.35">
      <c r="A12" s="11" t="s">
        <v>9</v>
      </c>
      <c r="B12" s="11"/>
      <c r="C12" s="12">
        <v>72345</v>
      </c>
      <c r="D12" s="10"/>
      <c r="E12" s="31" t="s">
        <v>25</v>
      </c>
    </row>
    <row r="13" spans="1:5" x14ac:dyDescent="0.35">
      <c r="A13" s="28" t="s">
        <v>6</v>
      </c>
      <c r="B13" s="28"/>
      <c r="C13" s="29">
        <v>450000</v>
      </c>
      <c r="D13" s="10"/>
    </row>
    <row r="14" spans="1:5" x14ac:dyDescent="0.35">
      <c r="A14" s="15" t="s">
        <v>7</v>
      </c>
      <c r="B14" s="15"/>
      <c r="C14" s="16">
        <f>SUM(C1:C13)</f>
        <v>8846127</v>
      </c>
      <c r="D14" s="10"/>
    </row>
    <row r="15" spans="1:5" x14ac:dyDescent="0.35">
      <c r="A15" s="15"/>
      <c r="B15" s="16"/>
      <c r="C15" s="10"/>
    </row>
    <row r="16" spans="1:5" x14ac:dyDescent="0.35">
      <c r="A16" s="17"/>
      <c r="B16" s="18"/>
      <c r="C16" s="10"/>
    </row>
    <row r="17" spans="1:3" x14ac:dyDescent="0.35">
      <c r="A17" s="17"/>
      <c r="B17" s="18"/>
      <c r="C17" s="10"/>
    </row>
  </sheetData>
  <hyperlinks>
    <hyperlink ref="E5" r:id="rId1" xr:uid="{00000000-0004-0000-0900-000000000000}"/>
    <hyperlink ref="E7" r:id="rId2" xr:uid="{00000000-0004-0000-0900-000001000000}"/>
    <hyperlink ref="E8" r:id="rId3" location="/cargos/fiduciaria" xr:uid="{00000000-0004-0000-0900-000002000000}"/>
    <hyperlink ref="E9" r:id="rId4" xr:uid="{00000000-0004-0000-0900-000003000000}"/>
    <hyperlink ref="E10" r:id="rId5" xr:uid="{00000000-0004-0000-0900-000004000000}"/>
    <hyperlink ref="E11" r:id="rId6" xr:uid="{00000000-0004-0000-0900-000005000000}"/>
    <hyperlink ref="E12" r:id="rId7" location="/Pagos" xr:uid="{00000000-0004-0000-0900-000006000000}"/>
    <hyperlink ref="E6" r:id="rId8" xr:uid="{00000000-0004-0000-0900-000007000000}"/>
    <hyperlink ref="E4" r:id="rId9" xr:uid="{00000000-0004-0000-0900-000008000000}"/>
  </hyperlinks>
  <pageMargins left="0.78749999999999998" right="0.78749999999999998" top="1.05277777777778" bottom="1.05277777777778" header="0.78749999999999998" footer="0.78749999999999998"/>
  <pageSetup firstPageNumber="0" orientation="portrait" r:id="rId10"/>
  <headerFooter>
    <oddHeader>&amp;C&amp;"Times New Roman,Normal"&amp;12&amp;A</oddHeader>
    <oddFooter>&amp;C&amp;"Times New Roman,Normal"&amp;12Página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6"/>
  <sheetViews>
    <sheetView zoomScaleNormal="100" workbookViewId="0">
      <selection activeCell="C8" sqref="C8"/>
    </sheetView>
  </sheetViews>
  <sheetFormatPr baseColWidth="10" defaultColWidth="9.1796875" defaultRowHeight="14.5" x14ac:dyDescent="0.35"/>
  <cols>
    <col min="1" max="1" width="30.1796875" bestFit="1" customWidth="1"/>
    <col min="2" max="2" width="27"/>
    <col min="3" max="3" width="26.453125" customWidth="1"/>
    <col min="4" max="4" width="17.1796875" customWidth="1"/>
    <col min="5" max="1025" width="10.54296875"/>
  </cols>
  <sheetData>
    <row r="1" spans="1:8" x14ac:dyDescent="0.35">
      <c r="A1" s="30" t="s">
        <v>26</v>
      </c>
      <c r="B1" s="30"/>
      <c r="C1" s="30">
        <v>1000000</v>
      </c>
    </row>
    <row r="2" spans="1:8" x14ac:dyDescent="0.35">
      <c r="A2" s="37" t="s">
        <v>1</v>
      </c>
      <c r="B2" s="37"/>
      <c r="C2" s="38">
        <v>1758645</v>
      </c>
    </row>
    <row r="3" spans="1:8" ht="15" thickBot="1" x14ac:dyDescent="0.4">
      <c r="A3" s="20" t="s">
        <v>0</v>
      </c>
      <c r="B3" s="20"/>
      <c r="C3" s="21">
        <v>677788</v>
      </c>
      <c r="D3" s="10" t="s">
        <v>34</v>
      </c>
    </row>
    <row r="4" spans="1:8" ht="15" thickBot="1" x14ac:dyDescent="0.4">
      <c r="A4" s="20" t="s">
        <v>28</v>
      </c>
      <c r="B4" s="20"/>
      <c r="C4" s="21">
        <v>875256</v>
      </c>
      <c r="D4" s="10" t="s">
        <v>27</v>
      </c>
      <c r="E4" s="31" t="s">
        <v>20</v>
      </c>
      <c r="F4" s="3"/>
      <c r="G4" s="4"/>
      <c r="H4" s="5"/>
    </row>
    <row r="5" spans="1:8" x14ac:dyDescent="0.35">
      <c r="A5" s="22" t="s">
        <v>11</v>
      </c>
      <c r="B5" s="22"/>
      <c r="C5" s="23">
        <v>822399</v>
      </c>
      <c r="D5" s="10" t="s">
        <v>13</v>
      </c>
      <c r="E5" s="36" t="s">
        <v>20</v>
      </c>
      <c r="F5" s="5"/>
      <c r="G5" s="5"/>
      <c r="H5" s="5"/>
    </row>
    <row r="6" spans="1:8" x14ac:dyDescent="0.35">
      <c r="A6" s="20" t="s">
        <v>15</v>
      </c>
      <c r="B6" s="20"/>
      <c r="C6" s="21">
        <v>666436</v>
      </c>
      <c r="D6" s="10" t="s">
        <v>12</v>
      </c>
      <c r="E6" s="36" t="s">
        <v>19</v>
      </c>
      <c r="F6" s="5"/>
      <c r="G6" s="5"/>
      <c r="H6" s="5"/>
    </row>
    <row r="7" spans="1:8" x14ac:dyDescent="0.35">
      <c r="A7" s="25" t="s">
        <v>5</v>
      </c>
      <c r="B7" s="25"/>
      <c r="C7" s="26">
        <v>338000</v>
      </c>
      <c r="D7" s="10" t="s">
        <v>37</v>
      </c>
      <c r="E7" s="31" t="s">
        <v>21</v>
      </c>
      <c r="F7" s="5"/>
      <c r="G7" s="5"/>
      <c r="H7" s="5"/>
    </row>
    <row r="8" spans="1:8" x14ac:dyDescent="0.35">
      <c r="A8" s="20" t="s">
        <v>10</v>
      </c>
      <c r="B8" s="20"/>
      <c r="C8" s="21">
        <v>1873981</v>
      </c>
      <c r="D8" s="10" t="s">
        <v>14</v>
      </c>
      <c r="E8" s="31" t="s">
        <v>22</v>
      </c>
      <c r="F8" s="5"/>
      <c r="G8" s="5"/>
      <c r="H8" s="5"/>
    </row>
    <row r="9" spans="1:8" x14ac:dyDescent="0.35">
      <c r="A9" s="20" t="s">
        <v>2</v>
      </c>
      <c r="B9" s="20"/>
      <c r="C9" s="21">
        <v>82214</v>
      </c>
      <c r="D9" s="10" t="s">
        <v>16</v>
      </c>
      <c r="E9" s="36" t="s">
        <v>23</v>
      </c>
      <c r="F9" s="5"/>
      <c r="G9" s="5"/>
      <c r="H9" s="5"/>
    </row>
    <row r="10" spans="1:8" x14ac:dyDescent="0.35">
      <c r="A10" s="20" t="s">
        <v>3</v>
      </c>
      <c r="B10" s="20"/>
      <c r="C10" s="21">
        <v>214449</v>
      </c>
      <c r="D10" s="10" t="s">
        <v>17</v>
      </c>
      <c r="E10" s="36" t="s">
        <v>23</v>
      </c>
      <c r="F10" s="5"/>
      <c r="G10" s="5"/>
      <c r="H10" s="5"/>
    </row>
    <row r="11" spans="1:8" x14ac:dyDescent="0.35">
      <c r="A11" s="20" t="s">
        <v>4</v>
      </c>
      <c r="B11" s="20"/>
      <c r="C11" s="21">
        <v>27876</v>
      </c>
      <c r="D11" s="10" t="s">
        <v>18</v>
      </c>
      <c r="E11" s="31" t="s">
        <v>24</v>
      </c>
      <c r="F11" s="5"/>
      <c r="G11" s="5"/>
      <c r="H11" s="5"/>
    </row>
    <row r="12" spans="1:8" x14ac:dyDescent="0.35">
      <c r="A12" s="11" t="s">
        <v>9</v>
      </c>
      <c r="B12" s="11"/>
      <c r="C12" s="12">
        <v>72345</v>
      </c>
      <c r="D12" s="10"/>
      <c r="E12" s="31" t="s">
        <v>25</v>
      </c>
      <c r="F12" s="5"/>
      <c r="G12" s="5"/>
      <c r="H12" s="5"/>
    </row>
    <row r="13" spans="1:8" x14ac:dyDescent="0.35">
      <c r="A13" s="13" t="s">
        <v>6</v>
      </c>
      <c r="B13" s="13"/>
      <c r="C13" s="14">
        <v>450000</v>
      </c>
      <c r="D13" s="10"/>
    </row>
    <row r="14" spans="1:8" x14ac:dyDescent="0.35">
      <c r="A14" s="15" t="s">
        <v>7</v>
      </c>
      <c r="B14" s="15"/>
      <c r="C14" s="16">
        <f>SUM(C1:C13)</f>
        <v>8859389</v>
      </c>
      <c r="D14" s="10"/>
    </row>
    <row r="15" spans="1:8" x14ac:dyDescent="0.35">
      <c r="A15" s="17"/>
      <c r="B15" s="18"/>
      <c r="C15" s="10"/>
    </row>
    <row r="16" spans="1:8" x14ac:dyDescent="0.35">
      <c r="A16" s="17"/>
      <c r="B16" s="18"/>
      <c r="C16" s="10"/>
    </row>
  </sheetData>
  <hyperlinks>
    <hyperlink ref="E5" r:id="rId1" xr:uid="{00000000-0004-0000-0A00-000000000000}"/>
    <hyperlink ref="E7" r:id="rId2" xr:uid="{00000000-0004-0000-0A00-000001000000}"/>
    <hyperlink ref="E8" r:id="rId3" location="/cargos/fiduciaria" xr:uid="{00000000-0004-0000-0A00-000002000000}"/>
    <hyperlink ref="E9" r:id="rId4" xr:uid="{00000000-0004-0000-0A00-000003000000}"/>
    <hyperlink ref="E10" r:id="rId5" xr:uid="{00000000-0004-0000-0A00-000004000000}"/>
    <hyperlink ref="E11" r:id="rId6" xr:uid="{00000000-0004-0000-0A00-000005000000}"/>
    <hyperlink ref="E12" r:id="rId7" location="/Pagos" xr:uid="{00000000-0004-0000-0A00-000006000000}"/>
    <hyperlink ref="E6" r:id="rId8" xr:uid="{00000000-0004-0000-0A00-000007000000}"/>
    <hyperlink ref="E4" r:id="rId9" xr:uid="{00000000-0004-0000-0A00-000008000000}"/>
  </hyperlinks>
  <pageMargins left="0.7" right="0.7" top="0.75" bottom="0.75" header="0.51180555555555496" footer="0.51180555555555496"/>
  <pageSetup firstPageNumber="0" orientation="portrait" r:id="rId1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7"/>
  <sheetViews>
    <sheetView zoomScaleNormal="100" workbookViewId="0"/>
  </sheetViews>
  <sheetFormatPr baseColWidth="10" defaultColWidth="32.81640625" defaultRowHeight="14.5" x14ac:dyDescent="0.35"/>
  <sheetData>
    <row r="1" spans="1:4" x14ac:dyDescent="0.35">
      <c r="A1" s="30" t="s">
        <v>26</v>
      </c>
      <c r="B1" s="30" t="s">
        <v>29</v>
      </c>
    </row>
    <row r="2" spans="1:4" x14ac:dyDescent="0.35">
      <c r="A2" s="30" t="s">
        <v>26</v>
      </c>
      <c r="B2" s="30" t="s">
        <v>30</v>
      </c>
    </row>
    <row r="3" spans="1:4" x14ac:dyDescent="0.35">
      <c r="A3" s="20" t="s">
        <v>0</v>
      </c>
      <c r="B3" s="21">
        <v>676605</v>
      </c>
      <c r="C3" s="10"/>
    </row>
    <row r="4" spans="1:4" x14ac:dyDescent="0.35">
      <c r="A4" s="20" t="s">
        <v>1</v>
      </c>
      <c r="B4" s="21">
        <v>10360365</v>
      </c>
      <c r="C4" s="10" t="s">
        <v>8</v>
      </c>
    </row>
    <row r="5" spans="1:4" x14ac:dyDescent="0.35">
      <c r="A5" s="20" t="s">
        <v>28</v>
      </c>
      <c r="B5" s="21">
        <v>875256</v>
      </c>
      <c r="C5" s="10" t="s">
        <v>27</v>
      </c>
      <c r="D5" s="31" t="s">
        <v>20</v>
      </c>
    </row>
    <row r="6" spans="1:4" x14ac:dyDescent="0.35">
      <c r="A6" s="22" t="s">
        <v>11</v>
      </c>
      <c r="B6" s="23">
        <v>822399</v>
      </c>
      <c r="C6" s="10" t="s">
        <v>13</v>
      </c>
      <c r="D6" s="31" t="s">
        <v>20</v>
      </c>
    </row>
    <row r="7" spans="1:4" x14ac:dyDescent="0.35">
      <c r="A7" s="20" t="s">
        <v>15</v>
      </c>
      <c r="B7" s="21">
        <v>664299</v>
      </c>
      <c r="C7" s="10" t="s">
        <v>12</v>
      </c>
      <c r="D7" s="31" t="s">
        <v>19</v>
      </c>
    </row>
    <row r="8" spans="1:4" x14ac:dyDescent="0.35">
      <c r="A8" s="25" t="s">
        <v>5</v>
      </c>
      <c r="B8" s="26">
        <v>300000</v>
      </c>
      <c r="C8" s="10"/>
      <c r="D8" s="31" t="s">
        <v>21</v>
      </c>
    </row>
    <row r="9" spans="1:4" x14ac:dyDescent="0.35">
      <c r="A9" s="20" t="s">
        <v>10</v>
      </c>
      <c r="B9" s="21">
        <v>1320000</v>
      </c>
      <c r="C9" s="10" t="s">
        <v>14</v>
      </c>
      <c r="D9" s="31" t="s">
        <v>22</v>
      </c>
    </row>
    <row r="10" spans="1:4" x14ac:dyDescent="0.35">
      <c r="A10" s="20" t="s">
        <v>2</v>
      </c>
      <c r="B10" s="21">
        <v>82282</v>
      </c>
      <c r="C10" s="10" t="s">
        <v>16</v>
      </c>
      <c r="D10" s="31" t="s">
        <v>23</v>
      </c>
    </row>
    <row r="11" spans="1:4" x14ac:dyDescent="0.35">
      <c r="A11" s="20" t="s">
        <v>3</v>
      </c>
      <c r="B11" s="21">
        <v>187034</v>
      </c>
      <c r="C11" s="10" t="s">
        <v>17</v>
      </c>
      <c r="D11" s="31" t="s">
        <v>23</v>
      </c>
    </row>
    <row r="12" spans="1:4" x14ac:dyDescent="0.35">
      <c r="A12" s="20" t="s">
        <v>4</v>
      </c>
      <c r="B12" s="21">
        <v>30045</v>
      </c>
      <c r="C12" s="10" t="s">
        <v>18</v>
      </c>
      <c r="D12" s="31" t="s">
        <v>24</v>
      </c>
    </row>
    <row r="13" spans="1:4" x14ac:dyDescent="0.35">
      <c r="A13" s="11" t="s">
        <v>9</v>
      </c>
      <c r="B13" s="12">
        <v>88924</v>
      </c>
      <c r="C13" s="10"/>
      <c r="D13" s="31" t="s">
        <v>25</v>
      </c>
    </row>
    <row r="14" spans="1:4" x14ac:dyDescent="0.35">
      <c r="A14" s="13" t="s">
        <v>6</v>
      </c>
      <c r="B14" s="14">
        <v>302000</v>
      </c>
      <c r="C14" s="10"/>
    </row>
    <row r="15" spans="1:4" x14ac:dyDescent="0.35">
      <c r="A15" s="15" t="s">
        <v>7</v>
      </c>
      <c r="B15" s="16">
        <f>SUM(B3:B14)</f>
        <v>15709209</v>
      </c>
      <c r="C15" s="10"/>
    </row>
    <row r="16" spans="1:4" x14ac:dyDescent="0.35">
      <c r="A16" s="17"/>
      <c r="B16" s="18"/>
      <c r="C16" s="10"/>
    </row>
    <row r="17" spans="1:3" x14ac:dyDescent="0.35">
      <c r="A17" s="17"/>
      <c r="B17" s="18"/>
      <c r="C17" s="10"/>
    </row>
  </sheetData>
  <hyperlinks>
    <hyperlink ref="D6" r:id="rId1" xr:uid="{00000000-0004-0000-0B00-000000000000}"/>
    <hyperlink ref="D8" r:id="rId2" xr:uid="{00000000-0004-0000-0B00-000001000000}"/>
    <hyperlink ref="D9" r:id="rId3" location="/cargos/fiduciaria" xr:uid="{00000000-0004-0000-0B00-000002000000}"/>
    <hyperlink ref="D10" r:id="rId4" xr:uid="{00000000-0004-0000-0B00-000003000000}"/>
    <hyperlink ref="D11" r:id="rId5" xr:uid="{00000000-0004-0000-0B00-000004000000}"/>
    <hyperlink ref="D12" r:id="rId6" xr:uid="{00000000-0004-0000-0B00-000005000000}"/>
    <hyperlink ref="D13" r:id="rId7" location="/Pagos" xr:uid="{00000000-0004-0000-0B00-000006000000}"/>
    <hyperlink ref="D7" r:id="rId8" xr:uid="{00000000-0004-0000-0B00-000007000000}"/>
    <hyperlink ref="D5" r:id="rId9" xr:uid="{00000000-0004-0000-0B00-000008000000}"/>
  </hyperlinks>
  <pageMargins left="0.7" right="0.7" top="0.75" bottom="0.75" header="0.51180555555555496" footer="0.51180555555555496"/>
  <pageSetup firstPageNumber="0" orientation="portrait" r:id="rId10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Fabio Nelson Hernandez</dc:creator>
  <dc:description/>
  <cp:lastModifiedBy>Hernandez Quintana Fabio Nelson</cp:lastModifiedBy>
  <cp:revision>79</cp:revision>
  <dcterms:created xsi:type="dcterms:W3CDTF">2021-02-15T19:21:02Z</dcterms:created>
  <dcterms:modified xsi:type="dcterms:W3CDTF">2026-05-01T21:10:26Z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0c2abd79-57a9-4473-8700-c843f76a1e37_Enabled">
    <vt:lpwstr>true</vt:lpwstr>
  </property>
  <property fmtid="{D5CDD505-2E9C-101B-9397-08002B2CF9AE}" pid="9" name="MSIP_Label_0c2abd79-57a9-4473-8700-c843f76a1e37_SetDate">
    <vt:lpwstr>2026-02-26T03:08:48Z</vt:lpwstr>
  </property>
  <property fmtid="{D5CDD505-2E9C-101B-9397-08002B2CF9AE}" pid="10" name="MSIP_Label_0c2abd79-57a9-4473-8700-c843f76a1e37_Method">
    <vt:lpwstr>Privileged</vt:lpwstr>
  </property>
  <property fmtid="{D5CDD505-2E9C-101B-9397-08002B2CF9AE}" pid="11" name="MSIP_Label_0c2abd79-57a9-4473-8700-c843f76a1e37_Name">
    <vt:lpwstr>Internal</vt:lpwstr>
  </property>
  <property fmtid="{D5CDD505-2E9C-101B-9397-08002B2CF9AE}" pid="12" name="MSIP_Label_0c2abd79-57a9-4473-8700-c843f76a1e37_SiteId">
    <vt:lpwstr>35595a02-4d6d-44ac-99e1-f9ab4cd872db</vt:lpwstr>
  </property>
  <property fmtid="{D5CDD505-2E9C-101B-9397-08002B2CF9AE}" pid="13" name="MSIP_Label_0c2abd79-57a9-4473-8700-c843f76a1e37_ActionId">
    <vt:lpwstr>3bdbc63b-7a15-4b08-b1a9-3a60e7fed389</vt:lpwstr>
  </property>
  <property fmtid="{D5CDD505-2E9C-101B-9397-08002B2CF9AE}" pid="14" name="MSIP_Label_0c2abd79-57a9-4473-8700-c843f76a1e37_ContentBits">
    <vt:lpwstr>0</vt:lpwstr>
  </property>
  <property fmtid="{D5CDD505-2E9C-101B-9397-08002B2CF9AE}" pid="15" name="MSIP_Label_0c2abd79-57a9-4473-8700-c843f76a1e37_Tag">
    <vt:lpwstr>10, 0, 1, 1</vt:lpwstr>
  </property>
</Properties>
</file>