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2" customWidth="1" min="4" max="4"/>
    <col width="20" customWidth="1" min="5" max="5"/>
    <col width="18" customWidth="1" min="6" max="6"/>
    <col width="18" customWidth="1" min="7" max="7"/>
    <col width="12" customWidth="1" min="8" max="8"/>
    <col width="15" customWidth="1" min="9" max="9"/>
    <col width="22" customWidth="1" min="10" max="10"/>
    <col width="15" customWidth="1" min="11" max="11"/>
  </cols>
  <sheetData>
    <row r="1">
      <c r="A1" s="1" t="inlineStr">
        <is>
          <t>COMPONENTE</t>
        </is>
      </c>
      <c r="B1" s="1" t="inlineStr">
        <is>
          <t>MIGRACIÓN CÓDIGO</t>
        </is>
      </c>
      <c r="C1" s="1" t="inlineStr">
        <is>
          <t>PRUEBAS UNITARIAS</t>
        </is>
      </c>
      <c r="D1" s="1" t="inlineStr">
        <is>
          <t>BUGS</t>
        </is>
      </c>
      <c r="E1" s="1" t="inlineStr">
        <is>
          <t>CÓDIGO DUPLICADO</t>
        </is>
      </c>
      <c r="F1" s="1" t="inlineStr">
        <is>
          <t>CODE SMELLS</t>
        </is>
      </c>
      <c r="G1" s="1" t="inlineStr">
        <is>
          <t>VULNERABILIDADES</t>
        </is>
      </c>
      <c r="H1" s="1" t="inlineStr">
        <is>
          <t>% AVANCE</t>
        </is>
      </c>
      <c r="I1" s="1" t="inlineStr">
        <is>
          <t>FECHA INICIO</t>
        </is>
      </c>
      <c r="J1" s="1" t="inlineStr">
        <is>
          <t>FECHA FIN ESTIMADA</t>
        </is>
      </c>
      <c r="K1" s="1" t="inlineStr">
        <is>
          <t>USUARIO</t>
        </is>
      </c>
    </row>
    <row r="2">
      <c r="A2" t="inlineStr">
        <is>
          <t>ms-authorization</t>
        </is>
      </c>
      <c r="B2" t="inlineStr"/>
      <c r="C2" t="inlineStr"/>
      <c r="D2" t="inlineStr"/>
      <c r="E2" t="inlineStr">
        <is>
          <t>OK</t>
        </is>
      </c>
      <c r="F2" t="inlineStr">
        <is>
          <t>OK</t>
        </is>
      </c>
      <c r="G2" t="inlineStr">
        <is>
          <t>OK</t>
        </is>
      </c>
      <c r="H2" s="2">
        <f>COUNTIF(B2:G2,"OK")/6</f>
        <v/>
      </c>
      <c r="I2" t="inlineStr">
        <is>
          <t>2026-05-01</t>
        </is>
      </c>
      <c r="J2" s="3">
        <f>IF(H2=1,I2,TODAY()+ROUND((1-H2)*10,0))</f>
        <v/>
      </c>
      <c r="K2" t="inlineStr">
        <is>
          <t>Fabio</t>
        </is>
      </c>
    </row>
    <row r="3">
      <c r="A3" t="inlineStr">
        <is>
          <t>ms-context</t>
        </is>
      </c>
      <c r="B3" t="inlineStr">
        <is>
          <t>OK</t>
        </is>
      </c>
      <c r="C3" t="inlineStr"/>
      <c r="D3" t="inlineStr">
        <is>
          <t>OK</t>
        </is>
      </c>
      <c r="E3" t="inlineStr">
        <is>
          <t>OK</t>
        </is>
      </c>
      <c r="F3" t="inlineStr">
        <is>
          <t>OK</t>
        </is>
      </c>
      <c r="G3" t="inlineStr">
        <is>
          <t>OK</t>
        </is>
      </c>
      <c r="H3" s="2">
        <f>COUNTIF(B3:G3,"OK")/6</f>
        <v/>
      </c>
      <c r="I3" t="inlineStr">
        <is>
          <t>2026-05-02</t>
        </is>
      </c>
      <c r="J3" s="3">
        <f>IF(H3=1,I3,TODAY()+ROUND((1-H3)*10,0))</f>
        <v/>
      </c>
      <c r="K3" t="inlineStr">
        <is>
          <t>Fabio</t>
        </is>
      </c>
    </row>
    <row r="4">
      <c r="A4" t="inlineStr">
        <is>
          <t>ms-contracts</t>
        </is>
      </c>
      <c r="B4" t="inlineStr">
        <is>
          <t>OK</t>
        </is>
      </c>
      <c r="C4" t="inlineStr">
        <is>
          <t>OK</t>
        </is>
      </c>
      <c r="D4" t="inlineStr"/>
      <c r="E4" t="inlineStr"/>
      <c r="F4" t="inlineStr"/>
      <c r="G4" t="inlineStr">
        <is>
          <t>OK</t>
        </is>
      </c>
      <c r="H4" s="2">
        <f>COUNTIF(B4:G4,"OK")/6</f>
        <v/>
      </c>
      <c r="I4" t="inlineStr">
        <is>
          <t>2026-05-03</t>
        </is>
      </c>
      <c r="J4" s="3">
        <f>IF(H4=1,I4,TODAY()+ROUND((1-H4)*10,0))</f>
        <v/>
      </c>
      <c r="K4" t="inlineStr">
        <is>
          <t>Fabio</t>
        </is>
      </c>
    </row>
    <row r="5">
      <c r="A5" t="inlineStr">
        <is>
          <t>ms-countries</t>
        </is>
      </c>
      <c r="B5" t="inlineStr">
        <is>
          <t>OK</t>
        </is>
      </c>
      <c r="C5" t="inlineStr">
        <is>
          <t>OK</t>
        </is>
      </c>
      <c r="D5" t="inlineStr"/>
      <c r="E5" t="inlineStr">
        <is>
          <t>OK</t>
        </is>
      </c>
      <c r="F5" t="inlineStr">
        <is>
          <t>OK</t>
        </is>
      </c>
      <c r="G5" t="inlineStr"/>
      <c r="H5" s="2">
        <f>COUNTIF(B5:G5,"OK")/6</f>
        <v/>
      </c>
      <c r="I5" t="inlineStr">
        <is>
          <t>2026-05-04</t>
        </is>
      </c>
      <c r="J5" s="3">
        <f>IF(H5=1,I5,TODAY()+ROUND((1-H5)*10,0))</f>
        <v/>
      </c>
      <c r="K5" t="inlineStr">
        <is>
          <t>Juan David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2026-05-27T16:32:19Z</dcterms:created>
  <dcterms:modified xmlns:dcterms="http://purl.org/dc/terms/" xmlns:xsi="http://www.w3.org/2001/XMLSchema-instance" xsi:type="dcterms:W3CDTF">2026-05-27T16:32:19Z</dcterms:modified>
</cp:coreProperties>
</file>